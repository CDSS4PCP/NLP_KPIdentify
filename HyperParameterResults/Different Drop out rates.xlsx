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" sheetId="1" r:id="rId4"/>
    <sheet state="visible" name="Summary" sheetId="2" r:id="rId5"/>
    <sheet state="visible" name="0.2_M0" sheetId="3" r:id="rId6"/>
    <sheet state="visible" name="0.3_M0" sheetId="4" r:id="rId7"/>
    <sheet state="visible" name="0.4_M0" sheetId="5" r:id="rId8"/>
    <sheet state="visible" name="0.2_M1" sheetId="6" r:id="rId9"/>
    <sheet state="visible" name="0.3_M1" sheetId="7" r:id="rId10"/>
    <sheet state="visible" name="0.4_M1" sheetId="8" r:id="rId11"/>
    <sheet state="visible" name="0.2_M2" sheetId="9" r:id="rId12"/>
    <sheet state="visible" name="0.3_M2" sheetId="10" r:id="rId13"/>
    <sheet state="visible" name="0.4_M2" sheetId="11" r:id="rId14"/>
    <sheet state="visible" name="0.2_M3" sheetId="12" r:id="rId15"/>
    <sheet state="visible" name="0.3_M3" sheetId="13" r:id="rId16"/>
    <sheet state="visible" name="0.4_M3" sheetId="14" r:id="rId17"/>
    <sheet state="visible" name="0.2_M4" sheetId="15" r:id="rId18"/>
    <sheet state="visible" name="0.3_M4" sheetId="16" r:id="rId19"/>
    <sheet state="visible" name="0.4_M4" sheetId="17" r:id="rId20"/>
  </sheets>
  <definedNames/>
  <calcPr/>
</workbook>
</file>

<file path=xl/sharedStrings.xml><?xml version="1.0" encoding="utf-8"?>
<sst xmlns="http://schemas.openxmlformats.org/spreadsheetml/2006/main" count="493" uniqueCount="53">
  <si>
    <t xml:space="preserve">This document contains results for experiments evaluating different dropout rates in our model. Below is the organization of sheets and what each represents:
Experiments were conducted for three dropout rates:
• 0.2
• 0.3
• 0.4
There are four Acting cycles, which produce 5 models - {M0, M1, M2, M3, M4}
There is a sheet for each Drop out rate and model, the naming convention is [Drop out rate]_[Model]. These sheets contains the detailed experiment results. There is a summary sheet that 
aggregates the results from these individual sheets. 
</t>
  </si>
  <si>
    <t>F1 - STD DEV</t>
  </si>
  <si>
    <t>DESCRIPTION</t>
  </si>
  <si>
    <t>DROP OUT</t>
  </si>
  <si>
    <t>M0</t>
  </si>
  <si>
    <t>M1</t>
  </si>
  <si>
    <t>M2</t>
  </si>
  <si>
    <t>M3</t>
  </si>
  <si>
    <t>M4</t>
  </si>
  <si>
    <t>AL pool</t>
  </si>
  <si>
    <t>Training Data</t>
  </si>
  <si>
    <t>AL Iterations</t>
  </si>
  <si>
    <t>Doc Added / iteration</t>
  </si>
  <si>
    <t>Document Score</t>
  </si>
  <si>
    <t>kpsum</t>
  </si>
  <si>
    <t>learning rate</t>
  </si>
  <si>
    <t>BiLM retrained</t>
  </si>
  <si>
    <t>yes</t>
  </si>
  <si>
    <t>F1 - AVG</t>
  </si>
  <si>
    <t>Seq len</t>
  </si>
  <si>
    <t>Recall - STD DEV</t>
  </si>
  <si>
    <t>Recall - AVG</t>
  </si>
  <si>
    <t>GS91A</t>
  </si>
  <si>
    <t>GS91B</t>
  </si>
  <si>
    <t>Exp 1</t>
  </si>
  <si>
    <t/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</si>
  <si>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</si>
  <si>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</si>
  <si>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</si>
  <si>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</si>
  <si>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</si>
  <si>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</si>
  <si>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</si>
  <si>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</si>
  <si>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</si>
  <si>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</si>
  <si>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</si>
  <si>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</si>
  <si>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</si>
  <si>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</si>
  <si>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</si>
  <si>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</si>
  <si>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</si>
  <si>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</si>
  <si>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</si>
  <si>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</si>
  <si>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</si>
  <si>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</si>
  <si>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</si>
  <si>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</si>
  <si>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VAR</t>
  </si>
  <si>
    <t>STD DEV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</si>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</sst>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2" fontId="5" numFmtId="0" xfId="0" applyAlignment="1" applyFill="1" applyFont="1">
      <alignment horizontal="left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9.88"/>
  </cols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2" t="s">
        <v>1</v>
      </c>
      <c r="J3" s="3" t="s">
        <v>2</v>
      </c>
      <c r="K3" s="4"/>
    </row>
    <row r="4"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J4" s="4" t="s">
        <v>9</v>
      </c>
      <c r="K4" s="6">
        <v>42.0</v>
      </c>
    </row>
    <row r="5">
      <c r="B5" s="1">
        <v>0.2</v>
      </c>
      <c r="C5" s="7">
        <v>0.018770544300401464</v>
      </c>
      <c r="D5" s="7">
        <v>0.015416441439796248</v>
      </c>
      <c r="E5" s="7">
        <v>0.015143755588800784</v>
      </c>
      <c r="F5" s="7">
        <v>0.015022205785658311</v>
      </c>
      <c r="G5" s="7">
        <v>0.013076696830622047</v>
      </c>
      <c r="J5" s="4" t="s">
        <v>10</v>
      </c>
      <c r="K5" s="6">
        <v>500.0</v>
      </c>
    </row>
    <row r="6">
      <c r="B6" s="1">
        <v>0.3</v>
      </c>
      <c r="C6" s="7">
        <v>0.027988092706244437</v>
      </c>
      <c r="D6" s="7">
        <v>0.014128154270215307</v>
      </c>
      <c r="E6" s="7">
        <v>0.022254368492411695</v>
      </c>
      <c r="F6" s="7">
        <v>0.013425243169127275</v>
      </c>
      <c r="G6" s="7">
        <v>0.01874522337048789</v>
      </c>
      <c r="J6" s="4" t="s">
        <v>11</v>
      </c>
      <c r="K6" s="6">
        <v>4.0</v>
      </c>
    </row>
    <row r="7">
      <c r="B7" s="1">
        <v>0.4</v>
      </c>
      <c r="C7" s="7">
        <v>0.017682382946499806</v>
      </c>
      <c r="D7" s="7">
        <v>0.01429452109492772</v>
      </c>
      <c r="E7" s="7">
        <v>0.015297058540778317</v>
      </c>
      <c r="F7" s="7">
        <v>0.01658312395177702</v>
      </c>
      <c r="G7" s="7">
        <v>0.015033296378372923</v>
      </c>
      <c r="J7" s="4" t="s">
        <v>12</v>
      </c>
      <c r="K7" s="6">
        <v>5.0</v>
      </c>
    </row>
    <row r="8">
      <c r="J8" s="4" t="s">
        <v>13</v>
      </c>
      <c r="K8" s="4" t="s">
        <v>14</v>
      </c>
    </row>
    <row r="9">
      <c r="J9" s="4" t="s">
        <v>15</v>
      </c>
      <c r="K9" s="6">
        <v>0.001</v>
      </c>
    </row>
    <row r="10">
      <c r="J10" s="4" t="s">
        <v>16</v>
      </c>
      <c r="K10" s="4" t="s">
        <v>17</v>
      </c>
    </row>
    <row r="11">
      <c r="B11" s="2" t="s">
        <v>18</v>
      </c>
      <c r="J11" s="4" t="s">
        <v>19</v>
      </c>
      <c r="K11" s="6">
        <v>10.0</v>
      </c>
    </row>
    <row r="12">
      <c r="B12" s="5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8</v>
      </c>
    </row>
    <row r="13">
      <c r="B13" s="1">
        <v>0.2</v>
      </c>
      <c r="C13" s="7">
        <v>0.5923999999999999</v>
      </c>
      <c r="D13" s="7">
        <v>0.6127999999999999</v>
      </c>
      <c r="E13" s="7">
        <v>0.6172</v>
      </c>
      <c r="F13" s="7">
        <v>0.6155999999999997</v>
      </c>
      <c r="G13" s="7">
        <v>0.6171999999999997</v>
      </c>
    </row>
    <row r="14">
      <c r="B14" s="1">
        <v>0.3</v>
      </c>
      <c r="C14" s="7">
        <v>0.545</v>
      </c>
      <c r="D14" s="7">
        <v>0.5721739130434783</v>
      </c>
      <c r="E14" s="7">
        <v>0.5704347826086957</v>
      </c>
      <c r="F14" s="7">
        <v>0.5856521739130435</v>
      </c>
      <c r="G14" s="7">
        <v>0.5782608695652174</v>
      </c>
    </row>
    <row r="15">
      <c r="B15" s="1">
        <v>0.4</v>
      </c>
      <c r="C15" s="7">
        <v>0.5172</v>
      </c>
      <c r="D15" s="7">
        <v>0.5328</v>
      </c>
      <c r="E15" s="7">
        <v>0.5444000000000002</v>
      </c>
      <c r="F15" s="7">
        <v>0.5459999999999999</v>
      </c>
      <c r="G15" s="7">
        <v>0.5351999999999999</v>
      </c>
    </row>
    <row r="18">
      <c r="B18" s="2" t="s">
        <v>20</v>
      </c>
    </row>
    <row r="19">
      <c r="B19" s="5" t="s">
        <v>3</v>
      </c>
      <c r="C19" s="5" t="s">
        <v>4</v>
      </c>
      <c r="D19" s="5" t="s">
        <v>5</v>
      </c>
      <c r="E19" s="5" t="s">
        <v>6</v>
      </c>
      <c r="F19" s="5" t="s">
        <v>7</v>
      </c>
      <c r="G19" s="5" t="s">
        <v>8</v>
      </c>
    </row>
    <row r="20">
      <c r="B20" s="1">
        <v>0.2</v>
      </c>
      <c r="C20" s="7">
        <v>0.033151168908501574</v>
      </c>
      <c r="D20" s="7">
        <v>0.0262551582233536</v>
      </c>
      <c r="E20" s="7">
        <v>0.06759437846448471</v>
      </c>
      <c r="F20" s="7">
        <v>0.06804900195202479</v>
      </c>
      <c r="G20" s="7">
        <v>0.06055851165057916</v>
      </c>
    </row>
    <row r="21">
      <c r="B21" s="1">
        <v>0.3</v>
      </c>
      <c r="C21" s="7">
        <v>0.050343266128097454</v>
      </c>
      <c r="D21" s="7">
        <v>0.02622493156469855</v>
      </c>
      <c r="E21" s="7">
        <v>0.0630264390221301</v>
      </c>
      <c r="F21" s="7">
        <v>0.062107264091766506</v>
      </c>
      <c r="G21" s="7">
        <v>0.053807591629769565</v>
      </c>
    </row>
    <row r="22">
      <c r="B22" s="1">
        <v>0.4</v>
      </c>
      <c r="C22" s="7">
        <v>0.02868216635239861</v>
      </c>
      <c r="D22" s="7">
        <v>0.029297326385411583</v>
      </c>
      <c r="E22" s="7">
        <v>0.04975607165629809</v>
      </c>
      <c r="F22" s="7">
        <v>0.05821798118565547</v>
      </c>
      <c r="G22" s="7">
        <v>0.05198397188877865</v>
      </c>
    </row>
    <row r="25">
      <c r="B25" s="2" t="s">
        <v>21</v>
      </c>
    </row>
    <row r="26">
      <c r="B26" s="5" t="s">
        <v>3</v>
      </c>
      <c r="C26" s="5" t="s">
        <v>4</v>
      </c>
      <c r="D26" s="5" t="s">
        <v>5</v>
      </c>
      <c r="E26" s="5" t="s">
        <v>6</v>
      </c>
      <c r="F26" s="5" t="s">
        <v>7</v>
      </c>
      <c r="G26" s="5" t="s">
        <v>8</v>
      </c>
    </row>
    <row r="27">
      <c r="B27" s="1">
        <v>0.2</v>
      </c>
      <c r="C27" s="7">
        <v>0.4964</v>
      </c>
      <c r="D27" s="7">
        <v>0.5532</v>
      </c>
      <c r="E27" s="7">
        <v>0.49239999999999995</v>
      </c>
      <c r="F27" s="7">
        <v>0.5016000000000002</v>
      </c>
      <c r="G27" s="7">
        <v>0.5044000000000001</v>
      </c>
    </row>
    <row r="28">
      <c r="B28" s="1">
        <v>0.3</v>
      </c>
      <c r="C28" s="7">
        <v>0.43699999999999994</v>
      </c>
      <c r="D28" s="7">
        <v>0.5082608695652173</v>
      </c>
      <c r="E28" s="7">
        <v>0.4678260869565217</v>
      </c>
      <c r="F28" s="7">
        <v>0.478695652173913</v>
      </c>
      <c r="G28" s="7">
        <v>0.4695652173913043</v>
      </c>
    </row>
    <row r="29">
      <c r="B29" s="1">
        <v>0.4</v>
      </c>
      <c r="C29" s="7">
        <v>0.41319999999999996</v>
      </c>
      <c r="D29" s="7">
        <v>0.47</v>
      </c>
      <c r="E29" s="7">
        <v>0.4444000000000001</v>
      </c>
      <c r="F29" s="7">
        <v>0.4432000000000001</v>
      </c>
      <c r="G29" s="7">
        <v>0.43760000000000004</v>
      </c>
    </row>
  </sheetData>
  <mergeCells count="4">
    <mergeCell ref="B3:G3"/>
    <mergeCell ref="B11:G11"/>
    <mergeCell ref="B18:G18"/>
    <mergeCell ref="B25:G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8"/>
      <c r="B5" s="2" t="s">
        <v>22</v>
      </c>
      <c r="F5" s="2" t="s">
        <v>23</v>
      </c>
      <c r="J5" s="2"/>
    </row>
    <row r="6">
      <c r="A6" s="9" t="s">
        <v>24</v>
      </c>
      <c r="B6" s="1">
        <v>0.68</v>
      </c>
      <c r="C6" s="1">
        <v>0.43</v>
      </c>
      <c r="D6" s="1">
        <v>0.52</v>
      </c>
      <c r="F6" s="1">
        <v>0.72</v>
      </c>
      <c r="G6" s="1">
        <v>0.5</v>
      </c>
      <c r="H6" s="1">
        <v>0.59</v>
      </c>
      <c r="M6" s="1" t="s">
        <v>25</v>
      </c>
    </row>
    <row r="7">
      <c r="A7" s="9" t="s">
        <v>26</v>
      </c>
      <c r="B7" s="1">
        <v>0.71</v>
      </c>
      <c r="C7" s="1">
        <v>0.44</v>
      </c>
      <c r="D7" s="1">
        <v>0.54</v>
      </c>
      <c r="F7" s="1">
        <v>0.76</v>
      </c>
      <c r="G7" s="1">
        <v>0.5</v>
      </c>
      <c r="H7" s="1">
        <v>0.61</v>
      </c>
    </row>
    <row r="8">
      <c r="A8" s="9" t="s">
        <v>27</v>
      </c>
      <c r="B8" s="1">
        <v>0.68</v>
      </c>
      <c r="C8" s="1">
        <v>0.49</v>
      </c>
      <c r="D8" s="1">
        <v>0.57</v>
      </c>
      <c r="F8" s="1">
        <v>0.71</v>
      </c>
      <c r="G8" s="1">
        <v>0.54</v>
      </c>
      <c r="H8" s="1">
        <v>0.61</v>
      </c>
    </row>
    <row r="9">
      <c r="A9" s="9" t="s">
        <v>28</v>
      </c>
      <c r="B9" s="1">
        <v>0.67</v>
      </c>
      <c r="C9" s="1">
        <v>0.44</v>
      </c>
      <c r="D9" s="1">
        <v>0.53</v>
      </c>
      <c r="F9" s="1">
        <v>0.74</v>
      </c>
      <c r="G9" s="1">
        <v>0.52</v>
      </c>
      <c r="H9" s="1">
        <v>0.61</v>
      </c>
    </row>
    <row r="10">
      <c r="A10" s="9" t="s">
        <v>29</v>
      </c>
      <c r="B10" s="1">
        <v>0.73</v>
      </c>
      <c r="C10" s="1">
        <v>0.41</v>
      </c>
      <c r="D10" s="1">
        <v>0.53</v>
      </c>
      <c r="F10" s="1">
        <v>0.76</v>
      </c>
      <c r="G10" s="1">
        <v>0.48</v>
      </c>
      <c r="H10" s="1">
        <v>0.59</v>
      </c>
    </row>
    <row r="11">
      <c r="A11" s="9" t="s">
        <v>30</v>
      </c>
      <c r="B11" s="1">
        <v>0.64</v>
      </c>
      <c r="C11" s="1">
        <v>0.52</v>
      </c>
      <c r="D11" s="1">
        <v>0.58</v>
      </c>
      <c r="F11" s="1">
        <v>0.69</v>
      </c>
      <c r="G11" s="1">
        <v>0.56</v>
      </c>
      <c r="H11" s="1">
        <v>0.62</v>
      </c>
    </row>
    <row r="12">
      <c r="A12" s="9" t="s">
        <v>31</v>
      </c>
      <c r="B12" s="1">
        <v>0.75</v>
      </c>
      <c r="C12" s="1">
        <v>0.34</v>
      </c>
      <c r="D12" s="1">
        <v>0.46</v>
      </c>
      <c r="E12" s="1" t="s">
        <v>25</v>
      </c>
      <c r="F12" s="1">
        <v>0.81</v>
      </c>
      <c r="G12" s="1">
        <v>0.41</v>
      </c>
      <c r="H12" s="1">
        <v>0.54</v>
      </c>
    </row>
    <row r="13">
      <c r="A13" s="9" t="s">
        <v>32</v>
      </c>
      <c r="B13" s="1">
        <v>0.72</v>
      </c>
      <c r="C13" s="1">
        <v>0.45</v>
      </c>
      <c r="D13" s="1">
        <v>0.56</v>
      </c>
      <c r="F13" s="1">
        <v>0.73</v>
      </c>
      <c r="G13" s="1">
        <v>0.51</v>
      </c>
      <c r="H13" s="1">
        <v>0.6</v>
      </c>
    </row>
    <row r="14">
      <c r="A14" s="9" t="s">
        <v>33</v>
      </c>
      <c r="B14" s="1">
        <v>0.73</v>
      </c>
      <c r="C14" s="1">
        <v>0.39</v>
      </c>
      <c r="D14" s="1">
        <v>0.51</v>
      </c>
      <c r="F14" s="1">
        <v>0.75</v>
      </c>
      <c r="G14" s="1">
        <v>0.46</v>
      </c>
      <c r="H14" s="1">
        <v>0.57</v>
      </c>
    </row>
    <row r="15">
      <c r="A15" s="9" t="s">
        <v>34</v>
      </c>
      <c r="B15" s="1">
        <v>0.73</v>
      </c>
      <c r="C15" s="1">
        <v>0.39</v>
      </c>
      <c r="D15" s="1">
        <v>0.51</v>
      </c>
      <c r="F15" s="1">
        <v>0.75</v>
      </c>
      <c r="G15" s="1">
        <v>0.46</v>
      </c>
      <c r="H15" s="1">
        <v>0.57</v>
      </c>
    </row>
    <row r="16">
      <c r="A16" s="9" t="s">
        <v>35</v>
      </c>
      <c r="B16" s="1">
        <v>0.68</v>
      </c>
      <c r="C16" s="1">
        <v>0.48</v>
      </c>
      <c r="D16" s="1">
        <v>0.56</v>
      </c>
      <c r="F16" s="1">
        <v>0.71</v>
      </c>
      <c r="G16" s="1">
        <v>0.54</v>
      </c>
      <c r="H16" s="1">
        <v>0.61</v>
      </c>
    </row>
    <row r="17">
      <c r="A17" s="9" t="s">
        <v>36</v>
      </c>
      <c r="B17" s="1">
        <v>0.67</v>
      </c>
      <c r="C17" s="1">
        <v>0.43</v>
      </c>
      <c r="D17" s="1">
        <v>0.52</v>
      </c>
      <c r="F17" s="1">
        <v>0.74</v>
      </c>
      <c r="G17" s="1">
        <v>0.5</v>
      </c>
      <c r="H17" s="1">
        <v>0.59</v>
      </c>
    </row>
    <row r="18">
      <c r="A18" s="9" t="s">
        <v>37</v>
      </c>
      <c r="B18" s="1">
        <v>0.71</v>
      </c>
      <c r="C18" s="1">
        <v>0.44</v>
      </c>
      <c r="D18" s="1">
        <v>0.54</v>
      </c>
      <c r="F18" s="1">
        <v>0.74</v>
      </c>
      <c r="G18" s="1">
        <v>0.52</v>
      </c>
      <c r="H18" s="1">
        <v>0.61</v>
      </c>
    </row>
    <row r="19">
      <c r="A19" s="9" t="s">
        <v>38</v>
      </c>
      <c r="B19" s="1">
        <v>0.7</v>
      </c>
      <c r="C19" s="1">
        <v>0.44</v>
      </c>
      <c r="D19" s="1">
        <v>0.54</v>
      </c>
      <c r="F19" s="1">
        <v>0.73</v>
      </c>
      <c r="G19" s="1">
        <v>0.5</v>
      </c>
      <c r="H19" s="1">
        <v>0.6</v>
      </c>
    </row>
    <row r="20">
      <c r="A20" s="9" t="s">
        <v>39</v>
      </c>
      <c r="B20" s="1">
        <v>0.7</v>
      </c>
      <c r="C20" s="1">
        <v>0.48</v>
      </c>
      <c r="D20" s="1">
        <v>0.57</v>
      </c>
      <c r="F20" s="1">
        <v>0.69</v>
      </c>
      <c r="G20" s="1">
        <v>0.51</v>
      </c>
      <c r="H20" s="1">
        <v>0.59</v>
      </c>
    </row>
    <row r="21">
      <c r="A21" s="9" t="s">
        <v>40</v>
      </c>
      <c r="B21" s="1">
        <v>0.73</v>
      </c>
      <c r="C21" s="1">
        <v>0.41</v>
      </c>
      <c r="D21" s="1">
        <v>0.52</v>
      </c>
      <c r="F21" s="1">
        <v>0.76</v>
      </c>
      <c r="G21" s="1">
        <v>0.46</v>
      </c>
      <c r="H21" s="1">
        <v>0.57</v>
      </c>
    </row>
    <row r="22">
      <c r="A22" s="9" t="s">
        <v>41</v>
      </c>
      <c r="B22" s="1">
        <v>0.71</v>
      </c>
      <c r="C22" s="1">
        <v>0.38</v>
      </c>
      <c r="D22" s="1">
        <v>0.5</v>
      </c>
      <c r="F22" s="1">
        <v>0.76</v>
      </c>
      <c r="G22" s="1">
        <v>0.47</v>
      </c>
      <c r="H22" s="1">
        <v>0.58</v>
      </c>
    </row>
    <row r="23">
      <c r="A23" s="9" t="s">
        <v>42</v>
      </c>
      <c r="B23" s="1">
        <v>0.71</v>
      </c>
      <c r="C23" s="1">
        <v>0.41</v>
      </c>
      <c r="D23" s="1">
        <v>0.52</v>
      </c>
      <c r="F23" s="1">
        <v>0.74</v>
      </c>
      <c r="G23" s="1">
        <v>0.48</v>
      </c>
      <c r="H23" s="1">
        <v>0.58</v>
      </c>
    </row>
    <row r="24">
      <c r="A24" s="9" t="s">
        <v>43</v>
      </c>
      <c r="B24" s="1">
        <v>0.7</v>
      </c>
      <c r="C24" s="1">
        <v>0.42</v>
      </c>
      <c r="D24" s="1">
        <v>0.53</v>
      </c>
      <c r="F24" s="1">
        <v>0.74</v>
      </c>
      <c r="G24" s="1">
        <v>0.48</v>
      </c>
      <c r="H24" s="1">
        <v>0.58</v>
      </c>
    </row>
    <row r="25">
      <c r="A25" s="9" t="s">
        <v>44</v>
      </c>
      <c r="B25" s="1">
        <v>0.7</v>
      </c>
      <c r="C25" s="1">
        <v>0.47</v>
      </c>
      <c r="D25" s="1">
        <v>0.56</v>
      </c>
      <c r="F25" s="1">
        <v>0.73</v>
      </c>
      <c r="G25" s="1">
        <v>0.53</v>
      </c>
      <c r="H25" s="1">
        <v>0.62</v>
      </c>
    </row>
    <row r="26">
      <c r="A26" s="9" t="s">
        <v>45</v>
      </c>
      <c r="B26" s="1">
        <v>0.71</v>
      </c>
      <c r="C26" s="1">
        <v>0.38</v>
      </c>
      <c r="D26" s="1">
        <v>0.49</v>
      </c>
      <c r="F26" s="1">
        <v>0.75</v>
      </c>
      <c r="G26" s="1">
        <v>0.47</v>
      </c>
      <c r="H26" s="1">
        <v>0.58</v>
      </c>
    </row>
    <row r="27">
      <c r="A27" s="9" t="s">
        <v>46</v>
      </c>
      <c r="B27" s="1">
        <v>0.68</v>
      </c>
      <c r="C27" s="1">
        <v>0.44</v>
      </c>
      <c r="D27" s="1">
        <v>0.53</v>
      </c>
      <c r="F27" s="1">
        <v>0.71</v>
      </c>
      <c r="G27" s="1">
        <v>0.52</v>
      </c>
      <c r="H27" s="1">
        <v>0.6</v>
      </c>
    </row>
    <row r="28">
      <c r="A28" s="9" t="s">
        <v>47</v>
      </c>
      <c r="B28" s="1">
        <v>0.71</v>
      </c>
      <c r="C28" s="1">
        <v>0.39</v>
      </c>
      <c r="D28" s="1">
        <v>0.51</v>
      </c>
      <c r="F28" s="1">
        <v>0.76</v>
      </c>
      <c r="G28" s="1">
        <v>0.48</v>
      </c>
      <c r="H28" s="1">
        <v>0.59</v>
      </c>
    </row>
    <row r="29">
      <c r="A29" s="9" t="s">
        <v>48</v>
      </c>
      <c r="B29" s="1">
        <v>0.68</v>
      </c>
      <c r="C29" s="1">
        <v>0.45</v>
      </c>
      <c r="D29" s="1">
        <v>0.54</v>
      </c>
      <c r="F29" s="1">
        <v>0.72</v>
      </c>
      <c r="G29" s="1">
        <v>0.53</v>
      </c>
      <c r="H29" s="1">
        <v>0.61</v>
      </c>
    </row>
    <row r="30">
      <c r="A30" s="9" t="s">
        <v>49</v>
      </c>
      <c r="B30" s="1">
        <v>0.71</v>
      </c>
      <c r="C30" s="1">
        <v>0.39</v>
      </c>
      <c r="D30" s="1">
        <v>0.51</v>
      </c>
      <c r="F30" s="1">
        <v>0.76</v>
      </c>
      <c r="G30" s="1">
        <v>0.48</v>
      </c>
      <c r="H30" s="1">
        <v>0.59</v>
      </c>
    </row>
    <row r="31">
      <c r="A31" s="5" t="s">
        <v>50</v>
      </c>
      <c r="B31" s="7">
        <f t="shared" ref="B31:D31" si="1">VAR(B6:B30)</f>
        <v>0.0006056666667</v>
      </c>
      <c r="C31" s="7">
        <f t="shared" si="1"/>
        <v>0.001680666667</v>
      </c>
      <c r="D31" s="7">
        <f t="shared" si="1"/>
        <v>0.0007583333333</v>
      </c>
      <c r="F31" s="7">
        <f t="shared" ref="F31:H31" si="2">VAR(F6:F30)</f>
        <v>0.0006806666667</v>
      </c>
      <c r="G31" s="7">
        <f t="shared" si="2"/>
        <v>0.001099</v>
      </c>
      <c r="H31" s="7">
        <f t="shared" si="2"/>
        <v>0.0003523333333</v>
      </c>
    </row>
    <row r="32">
      <c r="A32" s="5" t="s">
        <v>51</v>
      </c>
      <c r="B32" s="7">
        <f t="shared" ref="B32:D32" si="3">STDEV(B6:B30)</f>
        <v>0.02461029595</v>
      </c>
      <c r="C32" s="7">
        <f t="shared" si="3"/>
        <v>0.04099593476</v>
      </c>
      <c r="D32" s="7">
        <f t="shared" si="3"/>
        <v>0.02753785274</v>
      </c>
      <c r="F32" s="7">
        <f t="shared" ref="F32:H32" si="4">STDEV(F6:F30)</f>
        <v>0.02608958924</v>
      </c>
      <c r="G32" s="7">
        <f t="shared" si="4"/>
        <v>0.03315116891</v>
      </c>
      <c r="H32" s="7">
        <f t="shared" si="4"/>
        <v>0.0187705443</v>
      </c>
    </row>
    <row r="33">
      <c r="A33" s="5" t="s">
        <v>52</v>
      </c>
      <c r="B33" s="7">
        <f t="shared" ref="B33:D33" si="5">AVERAGE(B6:B30)</f>
        <v>0.7016</v>
      </c>
      <c r="C33" s="7">
        <f t="shared" si="5"/>
        <v>0.4284</v>
      </c>
      <c r="D33" s="7">
        <f t="shared" si="5"/>
        <v>0.53</v>
      </c>
      <c r="F33" s="7">
        <f t="shared" ref="F33:H33" si="6">AVERAGE(F6:F30)</f>
        <v>0.7384</v>
      </c>
      <c r="G33" s="7">
        <f t="shared" si="6"/>
        <v>0.4964</v>
      </c>
      <c r="H33" s="7">
        <f t="shared" si="6"/>
        <v>0.5924</v>
      </c>
    </row>
  </sheetData>
  <mergeCells count="3">
    <mergeCell ref="B5:D5"/>
    <mergeCell ref="F5:H5"/>
    <mergeCell ref="J5:L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>
      <c r="A1" s="10"/>
      <c r="B1" s="10"/>
    </row>
    <row r="3">
      <c r="C3" s="1"/>
      <c r="D3" s="1"/>
      <c r="E3" s="1"/>
    </row>
    <row r="5">
      <c r="A5" s="1"/>
      <c r="B5" s="1"/>
    </row>
    <row r="6">
      <c r="A6" s="8"/>
      <c r="B6" s="2" t="s">
        <v>22</v>
      </c>
      <c r="F6" s="2" t="s">
        <v>23</v>
      </c>
      <c r="J6" s="2"/>
    </row>
    <row r="7">
      <c r="A7" s="9" t="s">
        <v>24</v>
      </c>
      <c r="B7" s="1">
        <v>0.72</v>
      </c>
      <c r="C7" s="1">
        <v>0.39</v>
      </c>
      <c r="D7" s="1">
        <v>0.51</v>
      </c>
      <c r="F7" s="1">
        <v>0.74</v>
      </c>
      <c r="G7" s="1">
        <v>0.42</v>
      </c>
      <c r="H7" s="1">
        <v>0.54</v>
      </c>
    </row>
    <row r="8">
      <c r="A8" s="9" t="s">
        <v>26</v>
      </c>
      <c r="B8" s="1">
        <v>0.65</v>
      </c>
      <c r="C8" s="1">
        <v>0.45</v>
      </c>
      <c r="D8" s="1">
        <v>0.53</v>
      </c>
      <c r="F8" s="1">
        <v>0.67</v>
      </c>
      <c r="G8" s="1">
        <v>0.5</v>
      </c>
      <c r="H8" s="1">
        <v>0.57</v>
      </c>
    </row>
    <row r="9">
      <c r="A9" s="9" t="s">
        <v>27</v>
      </c>
      <c r="B9" s="1">
        <v>0.72</v>
      </c>
      <c r="C9" s="1">
        <v>0.37</v>
      </c>
      <c r="D9" s="1">
        <v>0.49</v>
      </c>
      <c r="F9" s="1">
        <v>0.75</v>
      </c>
      <c r="G9" s="1">
        <v>0.44</v>
      </c>
      <c r="H9" s="1">
        <v>0.55</v>
      </c>
    </row>
    <row r="10">
      <c r="A10" s="9" t="s">
        <v>28</v>
      </c>
      <c r="B10" s="1">
        <v>0.69</v>
      </c>
      <c r="C10" s="1">
        <v>0.4</v>
      </c>
      <c r="D10" s="1">
        <v>0.51</v>
      </c>
      <c r="F10" s="1">
        <v>0.71</v>
      </c>
      <c r="G10" s="1">
        <v>0.46</v>
      </c>
      <c r="H10" s="1">
        <v>0.56</v>
      </c>
    </row>
    <row r="11">
      <c r="A11" s="9" t="s">
        <v>29</v>
      </c>
      <c r="B11" s="1">
        <v>0.73</v>
      </c>
      <c r="C11" s="1">
        <v>0.3</v>
      </c>
      <c r="D11" s="1">
        <v>0.43</v>
      </c>
      <c r="F11" s="1">
        <v>0.77</v>
      </c>
      <c r="G11" s="1">
        <v>0.36</v>
      </c>
      <c r="H11" s="1">
        <v>0.5</v>
      </c>
    </row>
    <row r="12">
      <c r="A12" s="9" t="s">
        <v>30</v>
      </c>
      <c r="B12" s="1">
        <v>0.68</v>
      </c>
      <c r="C12" s="1">
        <v>0.41</v>
      </c>
      <c r="D12" s="1">
        <v>0.51</v>
      </c>
      <c r="F12" s="1">
        <v>0.73</v>
      </c>
      <c r="G12" s="1">
        <v>0.48</v>
      </c>
      <c r="H12" s="1">
        <v>0.58</v>
      </c>
    </row>
    <row r="13">
      <c r="A13" s="9" t="s">
        <v>31</v>
      </c>
      <c r="B13" s="1">
        <v>0.73</v>
      </c>
      <c r="C13" s="1">
        <v>0.3</v>
      </c>
      <c r="D13" s="1">
        <v>0.43</v>
      </c>
      <c r="E13" s="1" t="s">
        <v>25</v>
      </c>
      <c r="F13" s="1">
        <v>0.77</v>
      </c>
      <c r="G13" s="1">
        <v>0.36</v>
      </c>
      <c r="H13" s="1">
        <v>0.5</v>
      </c>
    </row>
    <row r="14">
      <c r="A14" s="9" t="s">
        <v>32</v>
      </c>
      <c r="B14" s="1">
        <v>0.69</v>
      </c>
      <c r="C14" s="1">
        <v>0.37</v>
      </c>
      <c r="D14" s="1">
        <v>0.48</v>
      </c>
      <c r="F14" s="1">
        <v>0.72</v>
      </c>
      <c r="G14" s="1">
        <v>0.42</v>
      </c>
      <c r="H14" s="1">
        <v>0.53</v>
      </c>
    </row>
    <row r="15">
      <c r="A15" s="9" t="s">
        <v>33</v>
      </c>
      <c r="B15" s="1">
        <v>0.72</v>
      </c>
      <c r="C15" s="1">
        <v>0.4</v>
      </c>
      <c r="D15" s="1">
        <v>0.52</v>
      </c>
      <c r="F15" s="1">
        <v>0.74</v>
      </c>
      <c r="G15" s="1">
        <v>0.43</v>
      </c>
      <c r="H15" s="1">
        <v>0.55</v>
      </c>
    </row>
    <row r="16">
      <c r="A16" s="9" t="s">
        <v>34</v>
      </c>
      <c r="B16" s="1">
        <v>0.64</v>
      </c>
      <c r="C16" s="1">
        <v>0.42</v>
      </c>
      <c r="D16" s="1">
        <v>0.51</v>
      </c>
      <c r="F16" s="1">
        <v>0.67</v>
      </c>
      <c r="G16" s="1">
        <v>0.5</v>
      </c>
      <c r="H16" s="1">
        <v>0.57</v>
      </c>
    </row>
    <row r="17">
      <c r="A17" s="9" t="s">
        <v>35</v>
      </c>
      <c r="B17" s="1">
        <v>0.64</v>
      </c>
      <c r="C17" s="1">
        <v>0.44</v>
      </c>
      <c r="D17" s="1">
        <v>0.52</v>
      </c>
      <c r="F17" s="1">
        <v>0.67</v>
      </c>
      <c r="G17" s="1">
        <v>0.49</v>
      </c>
      <c r="H17" s="1">
        <v>0.57</v>
      </c>
    </row>
    <row r="18">
      <c r="A18" s="9" t="s">
        <v>36</v>
      </c>
      <c r="B18" s="1">
        <v>0.67</v>
      </c>
      <c r="C18" s="1">
        <v>0.39</v>
      </c>
      <c r="D18" s="1">
        <v>0.49</v>
      </c>
      <c r="F18" s="1">
        <v>0.7</v>
      </c>
      <c r="G18" s="1">
        <v>0.45</v>
      </c>
      <c r="H18" s="1">
        <v>0.54</v>
      </c>
    </row>
    <row r="19">
      <c r="A19" s="9" t="s">
        <v>37</v>
      </c>
      <c r="B19" s="1">
        <v>0.68</v>
      </c>
      <c r="C19" s="1">
        <v>0.39</v>
      </c>
      <c r="D19" s="1">
        <v>0.49</v>
      </c>
      <c r="F19" s="1">
        <v>0.74</v>
      </c>
      <c r="G19" s="1">
        <v>0.43</v>
      </c>
      <c r="H19" s="1">
        <v>0.54</v>
      </c>
    </row>
    <row r="20">
      <c r="A20" s="9" t="s">
        <v>38</v>
      </c>
      <c r="B20" s="1">
        <v>0.67</v>
      </c>
      <c r="C20" s="1">
        <v>0.37</v>
      </c>
      <c r="D20" s="1">
        <v>0.47</v>
      </c>
      <c r="F20" s="1">
        <v>0.72</v>
      </c>
      <c r="G20" s="1">
        <v>0.4</v>
      </c>
      <c r="H20" s="1">
        <v>0.52</v>
      </c>
    </row>
    <row r="21">
      <c r="A21" s="9" t="s">
        <v>39</v>
      </c>
      <c r="B21" s="1">
        <v>0.76</v>
      </c>
      <c r="C21" s="1">
        <v>0.28</v>
      </c>
      <c r="D21" s="1">
        <v>0.4</v>
      </c>
      <c r="F21" s="1">
        <v>0.79</v>
      </c>
      <c r="G21" s="1">
        <v>0.33</v>
      </c>
      <c r="H21" s="1">
        <v>0.47</v>
      </c>
    </row>
    <row r="22">
      <c r="A22" s="9" t="s">
        <v>40</v>
      </c>
      <c r="B22" s="1">
        <v>0.75</v>
      </c>
      <c r="C22" s="1">
        <v>0.27</v>
      </c>
      <c r="D22" s="1">
        <v>0.39</v>
      </c>
      <c r="F22" s="1">
        <v>0.75</v>
      </c>
      <c r="G22" s="1">
        <v>0.3</v>
      </c>
      <c r="H22" s="1">
        <v>0.43</v>
      </c>
    </row>
    <row r="23">
      <c r="A23" s="9" t="s">
        <v>41</v>
      </c>
      <c r="B23" s="1">
        <v>0.67</v>
      </c>
      <c r="C23" s="1">
        <v>0.41</v>
      </c>
      <c r="D23" s="1">
        <v>0.5</v>
      </c>
      <c r="F23" s="1">
        <v>0.67</v>
      </c>
      <c r="G23" s="1">
        <v>0.47</v>
      </c>
      <c r="H23" s="1">
        <v>0.55</v>
      </c>
    </row>
    <row r="24">
      <c r="A24" s="9" t="s">
        <v>42</v>
      </c>
      <c r="B24" s="1">
        <v>0.67</v>
      </c>
      <c r="C24" s="1">
        <v>0.41</v>
      </c>
      <c r="D24" s="1">
        <v>0.51</v>
      </c>
      <c r="F24" s="1">
        <v>0.71</v>
      </c>
      <c r="G24" s="1">
        <v>0.45</v>
      </c>
      <c r="H24" s="1">
        <v>0.55</v>
      </c>
    </row>
    <row r="25">
      <c r="A25" s="9" t="s">
        <v>43</v>
      </c>
      <c r="B25" s="1">
        <v>0.63</v>
      </c>
      <c r="C25" s="1">
        <v>0.42</v>
      </c>
      <c r="D25" s="1">
        <v>0.5</v>
      </c>
      <c r="F25" s="1">
        <v>0.69</v>
      </c>
      <c r="G25" s="1">
        <v>0.47</v>
      </c>
      <c r="H25" s="1">
        <v>0.56</v>
      </c>
    </row>
    <row r="26">
      <c r="A26" s="9" t="s">
        <v>44</v>
      </c>
      <c r="B26" s="1">
        <v>0.68</v>
      </c>
      <c r="C26" s="1">
        <v>0.39</v>
      </c>
      <c r="D26" s="1">
        <v>0.5</v>
      </c>
      <c r="F26" s="1">
        <v>0.72</v>
      </c>
      <c r="G26" s="1">
        <v>0.46</v>
      </c>
      <c r="H26" s="1">
        <v>0.57</v>
      </c>
    </row>
    <row r="27">
      <c r="A27" s="9" t="s">
        <v>45</v>
      </c>
      <c r="B27" s="1">
        <v>0.72</v>
      </c>
      <c r="C27" s="1">
        <v>0.33</v>
      </c>
      <c r="D27" s="1">
        <v>0.46</v>
      </c>
      <c r="F27" s="1">
        <v>0.75</v>
      </c>
      <c r="G27" s="1">
        <v>0.39</v>
      </c>
      <c r="H27" s="1">
        <v>0.51</v>
      </c>
    </row>
    <row r="28">
      <c r="A28" s="9" t="s">
        <v>46</v>
      </c>
      <c r="B28" s="1">
        <v>0.74</v>
      </c>
      <c r="C28" s="1">
        <v>0.26</v>
      </c>
      <c r="D28" s="1">
        <v>0.38</v>
      </c>
      <c r="F28" s="1">
        <v>0.77</v>
      </c>
      <c r="G28" s="1">
        <v>0.33</v>
      </c>
      <c r="H28" s="1">
        <v>0.46</v>
      </c>
    </row>
    <row r="29">
      <c r="A29" s="9" t="s">
        <v>47</v>
      </c>
      <c r="B29" s="1">
        <v>0.67</v>
      </c>
      <c r="C29" s="1">
        <v>0.41</v>
      </c>
      <c r="D29" s="1">
        <v>0.5</v>
      </c>
      <c r="F29" s="1">
        <v>0.67</v>
      </c>
      <c r="G29" s="1">
        <v>0.47</v>
      </c>
      <c r="H29" s="1">
        <v>0.55</v>
      </c>
    </row>
    <row r="30">
      <c r="A30" s="9" t="s">
        <v>48</v>
      </c>
    </row>
    <row r="31">
      <c r="A31" s="9" t="s">
        <v>49</v>
      </c>
    </row>
    <row r="32">
      <c r="A32" s="5" t="s">
        <v>50</v>
      </c>
      <c r="B32" s="7">
        <f t="shared" ref="B32:D32" si="1">VAR(B7:B31)</f>
        <v>0.001372332016</v>
      </c>
      <c r="C32" s="7">
        <f t="shared" si="1"/>
        <v>0.003067588933</v>
      </c>
      <c r="D32" s="7">
        <f t="shared" si="1"/>
        <v>0.001913438735</v>
      </c>
      <c r="F32" s="7">
        <f t="shared" ref="F32:H32" si="2">VAR(F7:F31)</f>
        <v>0.001374703557</v>
      </c>
      <c r="G32" s="7">
        <f t="shared" si="2"/>
        <v>0.003296442688</v>
      </c>
      <c r="H32" s="7">
        <f t="shared" si="2"/>
        <v>0.001523715415</v>
      </c>
    </row>
    <row r="33">
      <c r="A33" s="5" t="s">
        <v>51</v>
      </c>
      <c r="B33" s="7">
        <f t="shared" ref="B33:D33" si="3">STDEV(B7:B31)</f>
        <v>0.03704499988</v>
      </c>
      <c r="C33" s="7">
        <f t="shared" si="3"/>
        <v>0.05538581888</v>
      </c>
      <c r="D33" s="7">
        <f t="shared" si="3"/>
        <v>0.04374287068</v>
      </c>
      <c r="F33" s="7">
        <f t="shared" ref="F33:H33" si="4">STDEV(F7:F31)</f>
        <v>0.03707699499</v>
      </c>
      <c r="G33" s="7">
        <f t="shared" si="4"/>
        <v>0.05741465569</v>
      </c>
      <c r="H33" s="7">
        <f t="shared" si="4"/>
        <v>0.03903479749</v>
      </c>
    </row>
    <row r="34">
      <c r="A34" s="5" t="s">
        <v>52</v>
      </c>
      <c r="B34" s="7">
        <f t="shared" ref="B34:D34" si="5">AVERAGE(B7:B31)</f>
        <v>0.692173913</v>
      </c>
      <c r="C34" s="7">
        <f t="shared" si="5"/>
        <v>0.3730434783</v>
      </c>
      <c r="D34" s="7">
        <f t="shared" si="5"/>
        <v>0.4795652174</v>
      </c>
      <c r="F34" s="7">
        <f t="shared" ref="F34:H34" si="6">AVERAGE(F7:F31)</f>
        <v>0.7226086957</v>
      </c>
      <c r="G34" s="7">
        <f t="shared" si="6"/>
        <v>0.4265217391</v>
      </c>
      <c r="H34" s="7">
        <f t="shared" si="6"/>
        <v>0.5334782609</v>
      </c>
    </row>
  </sheetData>
  <mergeCells count="3">
    <mergeCell ref="B6:D6"/>
    <mergeCell ref="F6:H6"/>
    <mergeCell ref="J6:L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8"/>
      <c r="B5" s="2" t="s">
        <v>22</v>
      </c>
      <c r="F5" s="2" t="s">
        <v>23</v>
      </c>
      <c r="J5" s="2"/>
    </row>
    <row r="6">
      <c r="A6" s="9" t="s">
        <v>24</v>
      </c>
      <c r="B6" s="1">
        <v>0.69</v>
      </c>
      <c r="C6" s="1">
        <v>0.32</v>
      </c>
      <c r="D6" s="1">
        <v>0.43</v>
      </c>
      <c r="F6" s="1">
        <v>0.74</v>
      </c>
      <c r="G6" s="1">
        <v>0.37</v>
      </c>
      <c r="H6" s="1">
        <v>0.5</v>
      </c>
    </row>
    <row r="7">
      <c r="A7" s="9" t="s">
        <v>26</v>
      </c>
      <c r="B7" s="1">
        <v>0.67</v>
      </c>
      <c r="C7" s="1">
        <v>0.33</v>
      </c>
      <c r="D7" s="1">
        <v>0.45</v>
      </c>
      <c r="F7" s="1">
        <v>0.71</v>
      </c>
      <c r="G7" s="1">
        <v>0.37</v>
      </c>
      <c r="H7" s="1">
        <v>0.49</v>
      </c>
    </row>
    <row r="8">
      <c r="A8" s="9" t="s">
        <v>27</v>
      </c>
      <c r="B8" s="1">
        <v>0.62</v>
      </c>
      <c r="C8" s="1">
        <v>0.37</v>
      </c>
      <c r="D8" s="1">
        <v>0.47</v>
      </c>
      <c r="F8" s="1">
        <v>0.68</v>
      </c>
      <c r="G8" s="1">
        <v>0.43</v>
      </c>
      <c r="H8" s="1">
        <v>0.53</v>
      </c>
    </row>
    <row r="9">
      <c r="A9" s="9" t="s">
        <v>28</v>
      </c>
      <c r="B9" s="1">
        <v>0.62</v>
      </c>
      <c r="C9" s="1">
        <v>0.37</v>
      </c>
      <c r="D9" s="1">
        <v>0.47</v>
      </c>
      <c r="F9" s="1">
        <v>0.68</v>
      </c>
      <c r="G9" s="1">
        <v>0.43</v>
      </c>
      <c r="H9" s="1">
        <v>0.53</v>
      </c>
    </row>
    <row r="10">
      <c r="A10" s="9" t="s">
        <v>29</v>
      </c>
      <c r="B10" s="1">
        <v>0.64</v>
      </c>
      <c r="C10" s="1">
        <v>0.35</v>
      </c>
      <c r="D10" s="1">
        <v>0.46</v>
      </c>
      <c r="F10" s="1">
        <v>0.68</v>
      </c>
      <c r="G10" s="1">
        <v>0.42</v>
      </c>
      <c r="H10" s="1">
        <v>0.52</v>
      </c>
    </row>
    <row r="11">
      <c r="A11" s="9" t="s">
        <v>30</v>
      </c>
      <c r="B11" s="1">
        <v>0.64</v>
      </c>
      <c r="C11" s="1">
        <v>0.35</v>
      </c>
      <c r="D11" s="1">
        <v>0.46</v>
      </c>
      <c r="F11" s="1">
        <v>0.68</v>
      </c>
      <c r="G11" s="1">
        <v>0.42</v>
      </c>
      <c r="H11" s="1">
        <v>0.52</v>
      </c>
    </row>
    <row r="12">
      <c r="A12" s="9" t="s">
        <v>31</v>
      </c>
      <c r="B12" s="1">
        <v>0.65</v>
      </c>
      <c r="C12" s="1">
        <v>0.4</v>
      </c>
      <c r="D12" s="1">
        <v>0.49</v>
      </c>
      <c r="F12" s="1">
        <v>0.66</v>
      </c>
      <c r="G12" s="1">
        <v>0.45</v>
      </c>
      <c r="H12" s="1">
        <v>0.53</v>
      </c>
    </row>
    <row r="13">
      <c r="A13" s="9" t="s">
        <v>32</v>
      </c>
      <c r="B13" s="1">
        <v>0.64</v>
      </c>
      <c r="C13" s="1">
        <v>0.35</v>
      </c>
      <c r="D13" s="1">
        <v>0.45</v>
      </c>
      <c r="F13" s="1">
        <v>0.64</v>
      </c>
      <c r="G13" s="1">
        <v>0.43</v>
      </c>
      <c r="H13" s="1">
        <v>0.51</v>
      </c>
    </row>
    <row r="14">
      <c r="A14" s="9" t="s">
        <v>33</v>
      </c>
      <c r="B14" s="1">
        <v>0.7</v>
      </c>
      <c r="C14" s="1">
        <v>0.35</v>
      </c>
      <c r="D14" s="1">
        <v>0.47</v>
      </c>
      <c r="F14" s="1">
        <v>0.74</v>
      </c>
      <c r="G14" s="1">
        <v>0.42</v>
      </c>
      <c r="H14" s="1">
        <v>0.54</v>
      </c>
    </row>
    <row r="15">
      <c r="A15" s="9" t="s">
        <v>34</v>
      </c>
      <c r="B15" s="1">
        <v>0.7</v>
      </c>
      <c r="C15" s="1">
        <v>0.35</v>
      </c>
      <c r="D15" s="1">
        <v>0.47</v>
      </c>
      <c r="F15" s="1">
        <v>0.74</v>
      </c>
      <c r="G15" s="1">
        <v>0.42</v>
      </c>
      <c r="H15" s="1">
        <v>0.54</v>
      </c>
    </row>
    <row r="16">
      <c r="A16" s="9" t="s">
        <v>35</v>
      </c>
      <c r="B16" s="1">
        <v>0.65</v>
      </c>
      <c r="C16" s="1">
        <v>0.35</v>
      </c>
      <c r="D16" s="1">
        <v>0.46</v>
      </c>
      <c r="F16" s="1">
        <v>0.71</v>
      </c>
      <c r="G16" s="1">
        <v>0.42</v>
      </c>
      <c r="H16" s="1">
        <v>0.52</v>
      </c>
    </row>
    <row r="17">
      <c r="A17" s="9" t="s">
        <v>36</v>
      </c>
      <c r="B17" s="1">
        <v>0.63</v>
      </c>
      <c r="C17" s="1">
        <v>0.34</v>
      </c>
      <c r="D17" s="1">
        <v>0.44</v>
      </c>
      <c r="F17" s="1">
        <v>0.7</v>
      </c>
      <c r="G17" s="1">
        <v>0.39</v>
      </c>
      <c r="H17" s="1">
        <v>0.5</v>
      </c>
    </row>
    <row r="18">
      <c r="A18" s="9" t="s">
        <v>37</v>
      </c>
      <c r="B18" s="1">
        <v>0.67</v>
      </c>
      <c r="C18" s="1">
        <v>0.34</v>
      </c>
      <c r="D18" s="1">
        <v>0.45</v>
      </c>
      <c r="F18" s="1">
        <v>0.7</v>
      </c>
      <c r="G18" s="1">
        <v>0.37</v>
      </c>
      <c r="H18" s="1">
        <v>0.48</v>
      </c>
    </row>
    <row r="19">
      <c r="A19" s="9" t="s">
        <v>38</v>
      </c>
      <c r="B19" s="1">
        <v>0.6</v>
      </c>
      <c r="C19" s="1">
        <v>0.41</v>
      </c>
      <c r="D19" s="1">
        <v>0.49</v>
      </c>
      <c r="F19" s="1">
        <v>0.63</v>
      </c>
      <c r="G19" s="1">
        <v>0.46</v>
      </c>
      <c r="H19" s="1">
        <v>0.54</v>
      </c>
    </row>
    <row r="20">
      <c r="A20" s="9" t="s">
        <v>39</v>
      </c>
      <c r="B20" s="1">
        <v>0.63</v>
      </c>
      <c r="C20" s="1">
        <v>0.36</v>
      </c>
      <c r="D20" s="1">
        <v>0.46</v>
      </c>
      <c r="F20" s="1">
        <v>0.68</v>
      </c>
      <c r="G20" s="1">
        <v>0.44</v>
      </c>
      <c r="H20" s="1">
        <v>0.53</v>
      </c>
    </row>
    <row r="21">
      <c r="A21" s="9" t="s">
        <v>40</v>
      </c>
      <c r="B21" s="1">
        <v>0.64</v>
      </c>
      <c r="C21" s="1">
        <v>0.35</v>
      </c>
      <c r="D21" s="1">
        <v>0.45</v>
      </c>
      <c r="F21" s="1">
        <v>0.7</v>
      </c>
      <c r="G21" s="1">
        <v>0.4</v>
      </c>
      <c r="H21" s="1">
        <v>0.51</v>
      </c>
    </row>
    <row r="22">
      <c r="A22" s="9" t="s">
        <v>41</v>
      </c>
      <c r="B22" s="1">
        <v>0.65</v>
      </c>
      <c r="C22" s="1">
        <v>0.34</v>
      </c>
      <c r="D22" s="1">
        <v>0.45</v>
      </c>
      <c r="F22" s="1">
        <v>0.72</v>
      </c>
      <c r="G22" s="1">
        <v>0.37</v>
      </c>
      <c r="H22" s="1">
        <v>0.49</v>
      </c>
    </row>
    <row r="23">
      <c r="A23" s="9" t="s">
        <v>42</v>
      </c>
      <c r="B23" s="1">
        <v>0.68</v>
      </c>
      <c r="C23" s="1">
        <v>0.35</v>
      </c>
      <c r="D23" s="1">
        <v>0.46</v>
      </c>
      <c r="F23" s="1">
        <v>0.73</v>
      </c>
      <c r="G23" s="1">
        <v>0.39</v>
      </c>
      <c r="H23" s="1">
        <v>0.51</v>
      </c>
    </row>
    <row r="24">
      <c r="A24" s="9" t="s">
        <v>43</v>
      </c>
      <c r="B24" s="1">
        <v>0.64</v>
      </c>
      <c r="C24" s="1">
        <v>0.36</v>
      </c>
      <c r="D24" s="1">
        <v>0.47</v>
      </c>
      <c r="F24" s="1">
        <v>0.68</v>
      </c>
      <c r="G24" s="1">
        <v>0.43</v>
      </c>
      <c r="H24" s="1">
        <v>0.53</v>
      </c>
    </row>
    <row r="25">
      <c r="A25" s="9" t="s">
        <v>44</v>
      </c>
      <c r="B25" s="1">
        <v>0.67</v>
      </c>
      <c r="C25" s="1">
        <v>0.3</v>
      </c>
      <c r="D25" s="1">
        <v>0.41</v>
      </c>
      <c r="F25" s="1">
        <v>0.77</v>
      </c>
      <c r="G25" s="1">
        <v>0.36</v>
      </c>
      <c r="H25" s="1">
        <v>0.49</v>
      </c>
    </row>
    <row r="26">
      <c r="A26" s="9" t="s">
        <v>45</v>
      </c>
      <c r="B26" s="1">
        <v>0.63</v>
      </c>
      <c r="C26" s="1">
        <v>0.36</v>
      </c>
      <c r="D26" s="1">
        <v>0.46</v>
      </c>
      <c r="F26" s="1">
        <v>0.68</v>
      </c>
      <c r="G26" s="1">
        <v>0.44</v>
      </c>
      <c r="H26" s="1">
        <v>0.53</v>
      </c>
    </row>
    <row r="27">
      <c r="A27" s="9" t="s">
        <v>46</v>
      </c>
      <c r="B27" s="1">
        <v>0.62</v>
      </c>
      <c r="C27" s="1">
        <v>0.4</v>
      </c>
      <c r="D27" s="1">
        <v>0.49</v>
      </c>
      <c r="F27" s="1">
        <v>0.66</v>
      </c>
      <c r="G27" s="1">
        <v>0.43</v>
      </c>
      <c r="H27" s="1">
        <v>0.52</v>
      </c>
    </row>
    <row r="28">
      <c r="A28" s="9" t="s">
        <v>47</v>
      </c>
      <c r="B28" s="1">
        <v>0.63</v>
      </c>
      <c r="C28" s="1">
        <v>0.34</v>
      </c>
      <c r="D28" s="1">
        <v>0.44</v>
      </c>
      <c r="F28" s="1">
        <v>0.7</v>
      </c>
      <c r="G28" s="1">
        <v>0.4</v>
      </c>
      <c r="H28" s="1">
        <v>0.51</v>
      </c>
    </row>
    <row r="29">
      <c r="A29" s="9" t="s">
        <v>48</v>
      </c>
      <c r="B29" s="1">
        <v>0.6</v>
      </c>
      <c r="C29" s="1">
        <v>0.39</v>
      </c>
      <c r="D29" s="1">
        <v>0.47</v>
      </c>
      <c r="F29" s="1">
        <v>0.68</v>
      </c>
      <c r="G29" s="1">
        <v>0.42</v>
      </c>
      <c r="H29" s="1">
        <v>0.52</v>
      </c>
    </row>
    <row r="30">
      <c r="A30" s="9" t="s">
        <v>49</v>
      </c>
      <c r="B30" s="1">
        <v>0.64</v>
      </c>
      <c r="C30" s="1">
        <v>0.4</v>
      </c>
      <c r="D30" s="1">
        <v>0.49</v>
      </c>
      <c r="F30" s="1">
        <v>0.67</v>
      </c>
      <c r="G30" s="1">
        <v>0.45</v>
      </c>
      <c r="H30" s="1">
        <v>0.54</v>
      </c>
    </row>
    <row r="31">
      <c r="A31" s="5" t="s">
        <v>50</v>
      </c>
      <c r="B31" s="7">
        <f t="shared" ref="B31:D31" si="1">VAR(B6:B30)</f>
        <v>0.0007583333333</v>
      </c>
      <c r="C31" s="7">
        <f t="shared" si="1"/>
        <v>0.000696</v>
      </c>
      <c r="D31" s="7">
        <f t="shared" si="1"/>
        <v>0.0003706666667</v>
      </c>
      <c r="F31" s="7">
        <f t="shared" ref="F31:H31" si="2">VAR(F6:F30)</f>
        <v>0.001092333333</v>
      </c>
      <c r="G31" s="7">
        <f t="shared" si="2"/>
        <v>0.0008226666667</v>
      </c>
      <c r="H31" s="7">
        <f t="shared" si="2"/>
        <v>0.0003126666667</v>
      </c>
    </row>
    <row r="32">
      <c r="A32" s="5" t="s">
        <v>51</v>
      </c>
      <c r="B32" s="7">
        <f t="shared" ref="B32:D32" si="3">STDEV(B6:B30)</f>
        <v>0.02753785274</v>
      </c>
      <c r="C32" s="7">
        <f t="shared" si="3"/>
        <v>0.02638181192</v>
      </c>
      <c r="D32" s="7">
        <f t="shared" si="3"/>
        <v>0.01925270544</v>
      </c>
      <c r="F32" s="7">
        <f t="shared" ref="F32:H32" si="4">STDEV(F6:F30)</f>
        <v>0.03305046646</v>
      </c>
      <c r="G32" s="7">
        <f t="shared" si="4"/>
        <v>0.02868216635</v>
      </c>
      <c r="H32" s="7">
        <f t="shared" si="4"/>
        <v>0.01768238295</v>
      </c>
    </row>
    <row r="33">
      <c r="A33" s="5" t="s">
        <v>52</v>
      </c>
      <c r="B33" s="7">
        <f t="shared" ref="B33:D33" si="5">AVERAGE(B6:B30)</f>
        <v>0.646</v>
      </c>
      <c r="C33" s="7">
        <f t="shared" si="5"/>
        <v>0.3572</v>
      </c>
      <c r="D33" s="7">
        <f t="shared" si="5"/>
        <v>0.4604</v>
      </c>
      <c r="F33" s="7">
        <f t="shared" ref="F33:H33" si="6">AVERAGE(F6:F30)</f>
        <v>0.6944</v>
      </c>
      <c r="G33" s="7">
        <f t="shared" si="6"/>
        <v>0.4132</v>
      </c>
      <c r="H33" s="7">
        <f t="shared" si="6"/>
        <v>0.5172</v>
      </c>
    </row>
  </sheetData>
  <mergeCells count="3">
    <mergeCell ref="B5:D5"/>
    <mergeCell ref="F5:H5"/>
    <mergeCell ref="J5:L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0.67</v>
      </c>
      <c r="C5" s="1">
        <v>0.45</v>
      </c>
      <c r="D5" s="1">
        <v>0.54</v>
      </c>
      <c r="F5" s="1">
        <v>0.7</v>
      </c>
      <c r="G5" s="1">
        <v>0.5</v>
      </c>
      <c r="H5" s="1">
        <v>0.59</v>
      </c>
    </row>
    <row r="6">
      <c r="A6" s="9" t="s">
        <v>26</v>
      </c>
      <c r="B6" s="1">
        <v>0.66</v>
      </c>
      <c r="C6" s="1">
        <v>0.47</v>
      </c>
      <c r="D6" s="1">
        <v>0.55</v>
      </c>
      <c r="F6" s="1">
        <v>0.72</v>
      </c>
      <c r="G6" s="1">
        <v>0.54</v>
      </c>
      <c r="H6" s="1">
        <v>0.62</v>
      </c>
    </row>
    <row r="7">
      <c r="A7" s="9" t="s">
        <v>27</v>
      </c>
      <c r="B7" s="1">
        <v>0.59</v>
      </c>
      <c r="C7" s="1">
        <v>0.5</v>
      </c>
      <c r="D7" s="1">
        <v>0.54</v>
      </c>
      <c r="F7" s="1">
        <v>0.68</v>
      </c>
      <c r="G7" s="1">
        <v>0.58</v>
      </c>
      <c r="H7" s="1">
        <v>0.63</v>
      </c>
    </row>
    <row r="8">
      <c r="A8" s="9" t="s">
        <v>28</v>
      </c>
      <c r="B8" s="1">
        <v>0.65</v>
      </c>
      <c r="C8" s="1">
        <v>0.5</v>
      </c>
      <c r="D8" s="1">
        <v>0.57</v>
      </c>
      <c r="F8" s="1">
        <v>0.7</v>
      </c>
      <c r="G8" s="1">
        <v>0.56</v>
      </c>
      <c r="H8" s="1">
        <v>0.62</v>
      </c>
    </row>
    <row r="9">
      <c r="A9" s="9" t="s">
        <v>29</v>
      </c>
      <c r="B9" s="1">
        <v>0.68</v>
      </c>
      <c r="C9" s="1">
        <v>0.46</v>
      </c>
      <c r="D9" s="1">
        <v>0.55</v>
      </c>
      <c r="F9" s="1">
        <v>0.74</v>
      </c>
      <c r="G9" s="1">
        <v>0.5</v>
      </c>
      <c r="H9" s="1">
        <v>0.6</v>
      </c>
    </row>
    <row r="10">
      <c r="A10" s="9" t="s">
        <v>30</v>
      </c>
      <c r="B10" s="1">
        <v>0.65</v>
      </c>
      <c r="C10" s="1">
        <v>0.47</v>
      </c>
      <c r="D10" s="1">
        <v>0.55</v>
      </c>
      <c r="F10" s="1">
        <v>0.7</v>
      </c>
      <c r="G10" s="1">
        <v>0.53</v>
      </c>
      <c r="H10" s="1">
        <v>0.6</v>
      </c>
    </row>
    <row r="11">
      <c r="A11" s="9" t="s">
        <v>31</v>
      </c>
      <c r="B11" s="1">
        <v>0.68</v>
      </c>
      <c r="C11" s="1">
        <v>0.48</v>
      </c>
      <c r="D11" s="1">
        <v>0.56</v>
      </c>
      <c r="F11" s="1">
        <v>0.73</v>
      </c>
      <c r="G11" s="1">
        <v>0.54</v>
      </c>
      <c r="H11" s="1">
        <v>0.62</v>
      </c>
    </row>
    <row r="12">
      <c r="A12" s="9" t="s">
        <v>32</v>
      </c>
      <c r="B12" s="1">
        <v>0.67</v>
      </c>
      <c r="C12" s="1">
        <v>0.5</v>
      </c>
      <c r="D12" s="1">
        <v>0.58</v>
      </c>
      <c r="F12" s="1">
        <v>0.74</v>
      </c>
      <c r="G12" s="1">
        <v>0.54</v>
      </c>
      <c r="H12" s="1">
        <v>0.63</v>
      </c>
    </row>
    <row r="13">
      <c r="A13" s="9" t="s">
        <v>33</v>
      </c>
      <c r="B13" s="1">
        <v>0.63</v>
      </c>
      <c r="C13" s="1">
        <v>0.48</v>
      </c>
      <c r="D13" s="1">
        <v>0.55</v>
      </c>
      <c r="F13" s="1">
        <v>0.7</v>
      </c>
      <c r="G13" s="1">
        <v>0.55</v>
      </c>
      <c r="H13" s="1">
        <v>0.62</v>
      </c>
    </row>
    <row r="14">
      <c r="A14" s="9" t="s">
        <v>34</v>
      </c>
      <c r="B14" s="1">
        <v>0.63</v>
      </c>
      <c r="C14" s="1">
        <v>0.48</v>
      </c>
      <c r="D14" s="1">
        <v>0.55</v>
      </c>
      <c r="F14" s="1">
        <v>0.7</v>
      </c>
      <c r="G14" s="1">
        <v>0.55</v>
      </c>
      <c r="H14" s="1">
        <v>0.62</v>
      </c>
    </row>
    <row r="15">
      <c r="A15" s="9" t="s">
        <v>35</v>
      </c>
      <c r="B15" s="1">
        <v>0.52</v>
      </c>
      <c r="C15" s="1">
        <v>0.33</v>
      </c>
      <c r="D15" s="1">
        <v>0.4</v>
      </c>
      <c r="F15" s="1">
        <v>0.68</v>
      </c>
      <c r="G15" s="1">
        <v>0.52</v>
      </c>
      <c r="H15" s="1">
        <v>0.59</v>
      </c>
    </row>
    <row r="16">
      <c r="A16" s="9" t="s">
        <v>36</v>
      </c>
      <c r="B16" s="1">
        <v>0.52</v>
      </c>
      <c r="C16" s="1">
        <v>0.33</v>
      </c>
      <c r="D16" s="1">
        <v>0.41</v>
      </c>
      <c r="F16" s="1">
        <v>0.65</v>
      </c>
      <c r="G16" s="1">
        <v>0.53</v>
      </c>
      <c r="H16" s="1">
        <v>0.58</v>
      </c>
    </row>
    <row r="17">
      <c r="A17" s="9" t="s">
        <v>37</v>
      </c>
      <c r="B17" s="1">
        <v>0.52</v>
      </c>
      <c r="C17" s="1">
        <v>0.35</v>
      </c>
      <c r="D17" s="1">
        <v>0.42</v>
      </c>
      <c r="F17" s="1">
        <v>0.72</v>
      </c>
      <c r="G17" s="1">
        <v>0.56</v>
      </c>
      <c r="H17" s="1">
        <v>0.63</v>
      </c>
    </row>
    <row r="18">
      <c r="A18" s="9" t="s">
        <v>38</v>
      </c>
      <c r="B18" s="1">
        <v>0.5</v>
      </c>
      <c r="C18" s="1">
        <v>0.34</v>
      </c>
      <c r="D18" s="1">
        <v>0.41</v>
      </c>
      <c r="F18" s="1">
        <v>0.66</v>
      </c>
      <c r="G18" s="1">
        <v>0.58</v>
      </c>
      <c r="H18" s="1">
        <v>0.62</v>
      </c>
    </row>
    <row r="19">
      <c r="A19" s="9" t="s">
        <v>39</v>
      </c>
      <c r="B19" s="1">
        <v>0.52</v>
      </c>
      <c r="C19" s="1">
        <v>0.35</v>
      </c>
      <c r="D19" s="1">
        <v>0.42</v>
      </c>
      <c r="F19" s="1">
        <v>0.69</v>
      </c>
      <c r="G19" s="1">
        <v>0.57</v>
      </c>
      <c r="H19" s="1">
        <v>0.62</v>
      </c>
    </row>
    <row r="20">
      <c r="A20" s="9" t="s">
        <v>40</v>
      </c>
      <c r="B20" s="1">
        <v>0.51</v>
      </c>
      <c r="C20" s="1">
        <v>0.36</v>
      </c>
      <c r="D20" s="1">
        <v>0.42</v>
      </c>
      <c r="F20" s="1">
        <v>0.66</v>
      </c>
      <c r="G20" s="1">
        <v>0.56</v>
      </c>
      <c r="H20" s="1">
        <v>0.61</v>
      </c>
    </row>
    <row r="21">
      <c r="A21" s="9" t="s">
        <v>41</v>
      </c>
      <c r="B21" s="1">
        <v>0.51</v>
      </c>
      <c r="C21" s="1">
        <v>0.36</v>
      </c>
      <c r="D21" s="1">
        <v>0.42</v>
      </c>
      <c r="F21" s="1">
        <v>0.66</v>
      </c>
      <c r="G21" s="1">
        <v>0.58</v>
      </c>
      <c r="H21" s="1">
        <v>0.62</v>
      </c>
    </row>
    <row r="22">
      <c r="A22" s="9" t="s">
        <v>42</v>
      </c>
      <c r="B22" s="1">
        <v>0.54</v>
      </c>
      <c r="C22" s="1">
        <v>0.37</v>
      </c>
      <c r="D22" s="1">
        <v>0.44</v>
      </c>
      <c r="F22" s="1">
        <v>0.69</v>
      </c>
      <c r="G22" s="1">
        <v>0.58</v>
      </c>
      <c r="H22" s="1">
        <v>0.63</v>
      </c>
    </row>
    <row r="23">
      <c r="A23" s="9" t="s">
        <v>43</v>
      </c>
      <c r="B23" s="1">
        <v>0.49</v>
      </c>
      <c r="C23" s="1">
        <v>0.35</v>
      </c>
      <c r="D23" s="1">
        <v>0.41</v>
      </c>
      <c r="F23" s="1">
        <v>0.67</v>
      </c>
      <c r="G23" s="1">
        <v>0.56</v>
      </c>
      <c r="H23" s="1">
        <v>0.61</v>
      </c>
    </row>
    <row r="24">
      <c r="A24" s="9" t="s">
        <v>44</v>
      </c>
      <c r="B24" s="1">
        <v>0.52</v>
      </c>
      <c r="C24" s="1">
        <v>0.38</v>
      </c>
      <c r="D24" s="1">
        <v>0.44</v>
      </c>
      <c r="F24" s="1">
        <v>0.64</v>
      </c>
      <c r="G24" s="1">
        <v>0.58</v>
      </c>
      <c r="H24" s="1">
        <v>0.61</v>
      </c>
    </row>
    <row r="25">
      <c r="A25" s="9" t="s">
        <v>45</v>
      </c>
      <c r="B25" s="1">
        <v>0.51</v>
      </c>
      <c r="C25" s="1">
        <v>0.39</v>
      </c>
      <c r="D25" s="1">
        <v>0.44</v>
      </c>
      <c r="F25" s="1">
        <v>0.65</v>
      </c>
      <c r="G25" s="1">
        <v>0.59</v>
      </c>
      <c r="H25" s="1">
        <v>0.62</v>
      </c>
    </row>
    <row r="26">
      <c r="A26" s="9" t="s">
        <v>46</v>
      </c>
      <c r="B26" s="1">
        <v>0.54</v>
      </c>
      <c r="C26" s="1">
        <v>0.34</v>
      </c>
      <c r="D26" s="1">
        <v>0.42</v>
      </c>
      <c r="F26" s="1">
        <v>0.69</v>
      </c>
      <c r="G26" s="1">
        <v>0.53</v>
      </c>
      <c r="H26" s="1">
        <v>0.6</v>
      </c>
    </row>
    <row r="27">
      <c r="A27" s="9" t="s">
        <v>47</v>
      </c>
      <c r="B27" s="1">
        <v>0.52</v>
      </c>
      <c r="C27" s="1">
        <v>0.34</v>
      </c>
      <c r="D27" s="1">
        <v>0.41</v>
      </c>
      <c r="F27" s="1">
        <v>0.64</v>
      </c>
      <c r="G27" s="1">
        <v>0.55</v>
      </c>
      <c r="H27" s="1">
        <v>0.59</v>
      </c>
    </row>
    <row r="28">
      <c r="A28" s="9" t="s">
        <v>48</v>
      </c>
      <c r="B28" s="1">
        <v>0.51</v>
      </c>
      <c r="C28" s="1">
        <v>0.35</v>
      </c>
      <c r="D28" s="1">
        <v>0.42</v>
      </c>
      <c r="F28" s="1">
        <v>0.67</v>
      </c>
      <c r="G28" s="1">
        <v>0.55</v>
      </c>
      <c r="H28" s="1">
        <v>0.6</v>
      </c>
    </row>
    <row r="29">
      <c r="A29" s="9" t="s">
        <v>49</v>
      </c>
      <c r="B29" s="1">
        <v>0.5</v>
      </c>
      <c r="C29" s="1">
        <v>0.36</v>
      </c>
      <c r="D29" s="1">
        <v>0.42</v>
      </c>
      <c r="F29" s="1">
        <v>0.67</v>
      </c>
      <c r="G29" s="1">
        <v>0.6</v>
      </c>
      <c r="H29" s="1">
        <v>0.64</v>
      </c>
    </row>
    <row r="30">
      <c r="A30" s="5" t="s">
        <v>50</v>
      </c>
      <c r="B30" s="7">
        <f t="shared" ref="B30:D30" si="1">VAR(B5:B29)</f>
        <v>0.005004</v>
      </c>
      <c r="C30" s="7">
        <f t="shared" si="1"/>
        <v>0.004232333333</v>
      </c>
      <c r="D30" s="7">
        <f t="shared" si="1"/>
        <v>0.004632333333</v>
      </c>
      <c r="F30" s="7">
        <f t="shared" ref="F30:H30" si="2">VAR(F5:F29)</f>
        <v>0.0008666666667</v>
      </c>
      <c r="G30" s="7">
        <f t="shared" si="2"/>
        <v>0.0006893333333</v>
      </c>
      <c r="H30" s="7">
        <f t="shared" si="2"/>
        <v>0.0002376666667</v>
      </c>
    </row>
    <row r="31">
      <c r="A31" s="5" t="s">
        <v>51</v>
      </c>
      <c r="B31" s="7">
        <f t="shared" ref="B31:D31" si="3">STDEV(B5:B29)</f>
        <v>0.07073895674</v>
      </c>
      <c r="C31" s="7">
        <f t="shared" si="3"/>
        <v>0.0650563858</v>
      </c>
      <c r="D31" s="7">
        <f t="shared" si="3"/>
        <v>0.06806124693</v>
      </c>
      <c r="F31" s="7">
        <f t="shared" ref="F31:H31" si="4">STDEV(F5:F29)</f>
        <v>0.02943920289</v>
      </c>
      <c r="G31" s="7">
        <f t="shared" si="4"/>
        <v>0.02625515822</v>
      </c>
      <c r="H31" s="7">
        <f t="shared" si="4"/>
        <v>0.01541644144</v>
      </c>
    </row>
    <row r="32">
      <c r="A32" s="5" t="s">
        <v>52</v>
      </c>
      <c r="B32" s="7">
        <f t="shared" ref="B32:D32" si="5">AVERAGE(B5:B29)</f>
        <v>0.5696</v>
      </c>
      <c r="C32" s="7">
        <f t="shared" si="5"/>
        <v>0.4036</v>
      </c>
      <c r="D32" s="7">
        <f t="shared" si="5"/>
        <v>0.4736</v>
      </c>
      <c r="F32" s="7">
        <f t="shared" ref="F32:H32" si="6">AVERAGE(F5:F29)</f>
        <v>0.686</v>
      </c>
      <c r="G32" s="7">
        <f t="shared" si="6"/>
        <v>0.5532</v>
      </c>
      <c r="H32" s="7">
        <f t="shared" si="6"/>
        <v>0.6128</v>
      </c>
    </row>
  </sheetData>
  <mergeCells count="2">
    <mergeCell ref="B4:D4"/>
    <mergeCell ref="F4:H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0.72</v>
      </c>
      <c r="C5" s="1">
        <v>0.39</v>
      </c>
      <c r="D5" s="1">
        <v>0.51</v>
      </c>
      <c r="F5" s="1">
        <v>0.65</v>
      </c>
      <c r="G5" s="1">
        <v>0.53</v>
      </c>
      <c r="H5" s="1">
        <v>0.58</v>
      </c>
    </row>
    <row r="6">
      <c r="A6" s="9" t="s">
        <v>26</v>
      </c>
      <c r="B6" s="1">
        <v>0.63</v>
      </c>
      <c r="C6" s="1">
        <v>0.45</v>
      </c>
      <c r="D6" s="1">
        <v>0.52</v>
      </c>
      <c r="F6" s="1">
        <v>0.7</v>
      </c>
      <c r="G6" s="1">
        <v>0.49</v>
      </c>
      <c r="H6" s="1">
        <v>0.58</v>
      </c>
    </row>
    <row r="7">
      <c r="A7" s="9" t="s">
        <v>27</v>
      </c>
      <c r="B7" s="1">
        <v>0.64</v>
      </c>
      <c r="C7" s="1">
        <v>0.44</v>
      </c>
      <c r="D7" s="1">
        <v>0.52</v>
      </c>
      <c r="F7" s="1">
        <v>0.67</v>
      </c>
      <c r="G7" s="1">
        <v>0.48</v>
      </c>
      <c r="H7" s="1">
        <v>0.56</v>
      </c>
    </row>
    <row r="8">
      <c r="A8" s="9" t="s">
        <v>28</v>
      </c>
      <c r="B8" s="1">
        <v>0.57</v>
      </c>
      <c r="C8" s="1">
        <v>0.51</v>
      </c>
      <c r="D8" s="1">
        <v>0.54</v>
      </c>
      <c r="F8" s="1">
        <v>0.62</v>
      </c>
      <c r="G8" s="1">
        <v>0.57</v>
      </c>
      <c r="H8" s="1">
        <v>0.59</v>
      </c>
    </row>
    <row r="9">
      <c r="A9" s="9" t="s">
        <v>29</v>
      </c>
      <c r="B9" s="1">
        <v>0.62</v>
      </c>
      <c r="C9" s="1">
        <v>0.46</v>
      </c>
      <c r="D9" s="1">
        <v>0.53</v>
      </c>
      <c r="F9" s="1">
        <v>0.64</v>
      </c>
      <c r="G9" s="1">
        <v>0.51</v>
      </c>
      <c r="H9" s="1">
        <v>0.57</v>
      </c>
    </row>
    <row r="10">
      <c r="A10" s="9" t="s">
        <v>30</v>
      </c>
      <c r="B10" s="1">
        <v>0.62</v>
      </c>
      <c r="C10" s="1">
        <v>0.46</v>
      </c>
      <c r="D10" s="1">
        <v>0.53</v>
      </c>
      <c r="F10" s="1">
        <v>0.67</v>
      </c>
      <c r="G10" s="1">
        <v>0.52</v>
      </c>
      <c r="H10" s="1">
        <v>0.59</v>
      </c>
    </row>
    <row r="11">
      <c r="A11" s="9" t="s">
        <v>31</v>
      </c>
      <c r="B11" s="1">
        <v>0.59</v>
      </c>
      <c r="C11" s="1">
        <v>0.45</v>
      </c>
      <c r="D11" s="1">
        <v>0.51</v>
      </c>
      <c r="F11" s="1">
        <v>0.64</v>
      </c>
      <c r="G11" s="1">
        <v>0.52</v>
      </c>
      <c r="H11" s="1">
        <v>0.58</v>
      </c>
    </row>
    <row r="12">
      <c r="A12" s="9" t="s">
        <v>32</v>
      </c>
      <c r="B12" s="1">
        <v>0.63</v>
      </c>
      <c r="C12" s="1">
        <v>0.44</v>
      </c>
      <c r="D12" s="1">
        <v>0.52</v>
      </c>
      <c r="F12" s="1">
        <v>0.71</v>
      </c>
      <c r="G12" s="1">
        <v>0.49</v>
      </c>
      <c r="H12" s="1">
        <v>0.58</v>
      </c>
    </row>
    <row r="13">
      <c r="A13" s="9" t="s">
        <v>33</v>
      </c>
      <c r="B13" s="1">
        <v>0.67</v>
      </c>
      <c r="C13" s="1">
        <v>0.42</v>
      </c>
      <c r="D13" s="1">
        <v>0.52</v>
      </c>
      <c r="F13" s="1">
        <v>0.72</v>
      </c>
      <c r="G13" s="1">
        <v>0.46</v>
      </c>
      <c r="H13" s="1">
        <v>0.57</v>
      </c>
    </row>
    <row r="14">
      <c r="A14" s="9" t="s">
        <v>34</v>
      </c>
      <c r="B14" s="1">
        <v>0.66</v>
      </c>
      <c r="C14" s="1">
        <v>0.39</v>
      </c>
      <c r="D14" s="1">
        <v>0.49</v>
      </c>
      <c r="F14" s="1">
        <v>0.69</v>
      </c>
      <c r="G14" s="1">
        <v>0.45</v>
      </c>
      <c r="H14" s="1">
        <v>0.54</v>
      </c>
    </row>
    <row r="15">
      <c r="A15" s="9" t="s">
        <v>35</v>
      </c>
      <c r="B15" s="1">
        <v>0.51</v>
      </c>
      <c r="C15" s="1">
        <v>0.3</v>
      </c>
      <c r="D15" s="1">
        <v>0.38</v>
      </c>
      <c r="F15" s="1">
        <v>0.64</v>
      </c>
      <c r="G15" s="1">
        <v>0.48</v>
      </c>
      <c r="H15" s="1">
        <v>0.55</v>
      </c>
    </row>
    <row r="16">
      <c r="A16" s="9" t="s">
        <v>36</v>
      </c>
      <c r="B16" s="1">
        <v>0.51</v>
      </c>
      <c r="C16" s="1">
        <v>0.33</v>
      </c>
      <c r="D16" s="1">
        <v>0.4</v>
      </c>
      <c r="F16" s="1">
        <v>0.66</v>
      </c>
      <c r="G16" s="1">
        <v>0.52</v>
      </c>
      <c r="H16" s="1">
        <v>0.58</v>
      </c>
    </row>
    <row r="17">
      <c r="A17" s="9" t="s">
        <v>37</v>
      </c>
      <c r="B17" s="1">
        <v>0.46</v>
      </c>
      <c r="C17" s="1">
        <v>0.35</v>
      </c>
      <c r="D17" s="1">
        <v>0.4</v>
      </c>
      <c r="F17" s="1">
        <v>0.58</v>
      </c>
      <c r="G17" s="1">
        <v>0.52</v>
      </c>
      <c r="H17" s="1">
        <v>0.55</v>
      </c>
    </row>
    <row r="18">
      <c r="A18" s="9" t="s">
        <v>38</v>
      </c>
      <c r="B18" s="1">
        <v>0.53</v>
      </c>
      <c r="C18" s="1">
        <v>0.36</v>
      </c>
      <c r="D18" s="1">
        <v>0.43</v>
      </c>
      <c r="F18" s="1">
        <v>0.66</v>
      </c>
      <c r="G18" s="1">
        <v>0.54</v>
      </c>
      <c r="H18" s="1">
        <v>0.59</v>
      </c>
    </row>
    <row r="19">
      <c r="A19" s="9" t="s">
        <v>39</v>
      </c>
      <c r="B19" s="1">
        <v>0.49</v>
      </c>
      <c r="C19" s="1">
        <v>0.29</v>
      </c>
      <c r="D19" s="1">
        <v>0.37</v>
      </c>
      <c r="F19" s="1">
        <v>0.68</v>
      </c>
      <c r="G19" s="1">
        <v>0.5</v>
      </c>
      <c r="H19" s="1">
        <v>0.58</v>
      </c>
    </row>
    <row r="20">
      <c r="A20" s="9" t="s">
        <v>40</v>
      </c>
      <c r="B20" s="1">
        <v>0.5</v>
      </c>
      <c r="C20" s="1">
        <v>0.34</v>
      </c>
      <c r="D20" s="1">
        <v>0.4</v>
      </c>
      <c r="F20" s="1">
        <v>0.65</v>
      </c>
      <c r="G20" s="1">
        <v>0.52</v>
      </c>
      <c r="H20" s="1">
        <v>0.58</v>
      </c>
    </row>
    <row r="21">
      <c r="A21" s="9" t="s">
        <v>41</v>
      </c>
      <c r="B21" s="1">
        <v>0.51</v>
      </c>
      <c r="C21" s="1">
        <v>0.33</v>
      </c>
      <c r="D21" s="1">
        <v>0.4</v>
      </c>
      <c r="F21" s="1">
        <v>0.61</v>
      </c>
      <c r="G21" s="1">
        <v>0.5</v>
      </c>
      <c r="H21" s="1">
        <v>0.55</v>
      </c>
    </row>
    <row r="22">
      <c r="A22" s="9" t="s">
        <v>42</v>
      </c>
      <c r="B22" s="1">
        <v>0.51</v>
      </c>
      <c r="C22" s="1">
        <v>0.34</v>
      </c>
      <c r="D22" s="1">
        <v>0.41</v>
      </c>
      <c r="F22" s="1">
        <v>0.61</v>
      </c>
      <c r="G22" s="1">
        <v>0.53</v>
      </c>
      <c r="H22" s="1">
        <v>0.57</v>
      </c>
    </row>
    <row r="23">
      <c r="A23" s="9" t="s">
        <v>43</v>
      </c>
      <c r="B23" s="1">
        <v>0.5</v>
      </c>
      <c r="C23" s="1">
        <v>0.34</v>
      </c>
      <c r="D23" s="1">
        <v>0.4</v>
      </c>
      <c r="F23" s="1">
        <v>0.65</v>
      </c>
      <c r="G23" s="1">
        <v>0.52</v>
      </c>
      <c r="H23" s="1">
        <v>0.58</v>
      </c>
    </row>
    <row r="24">
      <c r="A24" s="9" t="s">
        <v>44</v>
      </c>
      <c r="B24" s="1">
        <v>0.49</v>
      </c>
      <c r="C24" s="1">
        <v>0.36</v>
      </c>
      <c r="D24" s="1">
        <v>0.41</v>
      </c>
      <c r="F24" s="1">
        <v>0.63</v>
      </c>
      <c r="G24" s="1">
        <v>0.52</v>
      </c>
      <c r="H24" s="1">
        <v>0.57</v>
      </c>
    </row>
    <row r="25">
      <c r="A25" s="9" t="s">
        <v>45</v>
      </c>
      <c r="B25" s="1">
        <v>0.52</v>
      </c>
      <c r="C25" s="1">
        <v>0.32</v>
      </c>
      <c r="D25" s="1">
        <v>0.4</v>
      </c>
      <c r="F25" s="1">
        <v>0.68</v>
      </c>
      <c r="G25" s="1">
        <v>0.5</v>
      </c>
      <c r="H25" s="1">
        <v>0.58</v>
      </c>
    </row>
    <row r="26">
      <c r="A26" s="9" t="s">
        <v>46</v>
      </c>
      <c r="B26" s="1">
        <v>0.49</v>
      </c>
      <c r="C26" s="1">
        <v>0.32</v>
      </c>
      <c r="D26" s="1">
        <v>0.38</v>
      </c>
      <c r="F26" s="1">
        <v>0.65</v>
      </c>
      <c r="G26" s="1">
        <v>0.52</v>
      </c>
      <c r="H26" s="1">
        <v>0.58</v>
      </c>
    </row>
    <row r="27">
      <c r="A27" s="9" t="s">
        <v>47</v>
      </c>
      <c r="B27" s="1">
        <v>0.51</v>
      </c>
      <c r="C27" s="1">
        <v>0.32</v>
      </c>
      <c r="D27" s="1">
        <v>0.39</v>
      </c>
      <c r="F27" s="1">
        <v>0.63</v>
      </c>
      <c r="G27" s="1">
        <v>0.5</v>
      </c>
      <c r="H27" s="1">
        <v>0.56</v>
      </c>
    </row>
    <row r="28">
      <c r="A28" s="9" t="s">
        <v>48</v>
      </c>
    </row>
    <row r="29">
      <c r="A29" s="9" t="s">
        <v>49</v>
      </c>
    </row>
    <row r="30">
      <c r="A30" s="5" t="s">
        <v>50</v>
      </c>
      <c r="B30" s="7">
        <f t="shared" ref="B30:D30" si="1">VAR(B5:B27)</f>
        <v>0.005409090909</v>
      </c>
      <c r="C30" s="7">
        <f t="shared" si="1"/>
        <v>0.003875494071</v>
      </c>
      <c r="D30" s="7">
        <f t="shared" si="1"/>
        <v>0.003986166008</v>
      </c>
      <c r="F30" s="7">
        <f t="shared" ref="F30:H30" si="2">VAR(F5:F27)</f>
        <v>0.001143083004</v>
      </c>
      <c r="G30" s="7">
        <f t="shared" si="2"/>
        <v>0.0006877470356</v>
      </c>
      <c r="H30" s="7">
        <f t="shared" si="2"/>
        <v>0.0001996047431</v>
      </c>
    </row>
    <row r="31">
      <c r="A31" s="5" t="s">
        <v>51</v>
      </c>
      <c r="B31" s="7">
        <f t="shared" ref="B31:D31" si="3">STDEV(B5:B27)</f>
        <v>0.07354652207</v>
      </c>
      <c r="C31" s="7">
        <f t="shared" si="3"/>
        <v>0.06225346634</v>
      </c>
      <c r="D31" s="7">
        <f t="shared" si="3"/>
        <v>0.06313609117</v>
      </c>
      <c r="F31" s="7">
        <f t="shared" ref="F31:H31" si="4">STDEV(F5:F27)</f>
        <v>0.03380951055</v>
      </c>
      <c r="G31" s="7">
        <f t="shared" si="4"/>
        <v>0.02622493156</v>
      </c>
      <c r="H31" s="7">
        <f t="shared" si="4"/>
        <v>0.01412815427</v>
      </c>
    </row>
    <row r="32">
      <c r="A32" s="5" t="s">
        <v>52</v>
      </c>
      <c r="B32" s="7">
        <f t="shared" ref="B32:D32" si="5">AVERAGE(B5:B27)</f>
        <v>0.56</v>
      </c>
      <c r="C32" s="7">
        <f t="shared" si="5"/>
        <v>0.3786956522</v>
      </c>
      <c r="D32" s="7">
        <f t="shared" si="5"/>
        <v>0.4504347826</v>
      </c>
      <c r="F32" s="7">
        <f t="shared" ref="F32:H32" si="6">AVERAGE(F5:F27)</f>
        <v>0.6539130435</v>
      </c>
      <c r="G32" s="7">
        <f t="shared" si="6"/>
        <v>0.5082608696</v>
      </c>
      <c r="H32" s="7">
        <f t="shared" si="6"/>
        <v>0.572173913</v>
      </c>
    </row>
  </sheetData>
  <mergeCells count="2">
    <mergeCell ref="B4:D4"/>
    <mergeCell ref="F4:H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0.57</v>
      </c>
      <c r="C5" s="1">
        <v>0.42</v>
      </c>
      <c r="D5" s="1">
        <v>0.48</v>
      </c>
      <c r="F5" s="1">
        <v>0.64</v>
      </c>
      <c r="G5" s="1">
        <v>0.48</v>
      </c>
      <c r="H5" s="1">
        <v>0.55</v>
      </c>
    </row>
    <row r="6">
      <c r="A6" s="9" t="s">
        <v>26</v>
      </c>
      <c r="B6" s="1">
        <v>0.62</v>
      </c>
      <c r="C6" s="1">
        <v>0.39</v>
      </c>
      <c r="D6" s="1">
        <v>0.48</v>
      </c>
      <c r="F6" s="1">
        <v>0.64</v>
      </c>
      <c r="G6" s="1">
        <v>0.45</v>
      </c>
      <c r="H6" s="1">
        <v>0.53</v>
      </c>
    </row>
    <row r="7">
      <c r="A7" s="9" t="s">
        <v>27</v>
      </c>
      <c r="B7" s="1">
        <v>0.59</v>
      </c>
      <c r="C7" s="1">
        <v>0.43</v>
      </c>
      <c r="D7" s="1">
        <v>0.5</v>
      </c>
      <c r="F7" s="1">
        <v>0.63</v>
      </c>
      <c r="G7" s="1">
        <v>0.47</v>
      </c>
      <c r="H7" s="1">
        <v>0.54</v>
      </c>
    </row>
    <row r="8">
      <c r="A8" s="9" t="s">
        <v>28</v>
      </c>
      <c r="B8" s="1">
        <v>0.61</v>
      </c>
      <c r="C8" s="1">
        <v>0.35</v>
      </c>
      <c r="D8" s="1">
        <v>0.44</v>
      </c>
      <c r="F8" s="1">
        <v>0.64</v>
      </c>
      <c r="G8" s="1">
        <v>0.42</v>
      </c>
      <c r="H8" s="1">
        <v>0.51</v>
      </c>
    </row>
    <row r="9">
      <c r="A9" s="9" t="s">
        <v>29</v>
      </c>
      <c r="B9" s="1">
        <v>0.61</v>
      </c>
      <c r="C9" s="1">
        <v>0.4</v>
      </c>
      <c r="D9" s="1">
        <v>0.48</v>
      </c>
      <c r="F9" s="1">
        <v>0.59</v>
      </c>
      <c r="G9" s="1">
        <v>0.44</v>
      </c>
      <c r="H9" s="1">
        <v>0.5</v>
      </c>
    </row>
    <row r="10">
      <c r="A10" s="9" t="s">
        <v>30</v>
      </c>
      <c r="B10" s="1">
        <v>0.6</v>
      </c>
      <c r="C10" s="1">
        <v>0.39</v>
      </c>
      <c r="D10" s="1">
        <v>0.48</v>
      </c>
      <c r="F10" s="1">
        <v>0.62</v>
      </c>
      <c r="G10" s="1">
        <v>0.47</v>
      </c>
      <c r="H10" s="1">
        <v>0.54</v>
      </c>
    </row>
    <row r="11">
      <c r="A11" s="9" t="s">
        <v>31</v>
      </c>
      <c r="B11" s="1">
        <v>0.52</v>
      </c>
      <c r="C11" s="1">
        <v>0.42</v>
      </c>
      <c r="D11" s="1">
        <v>0.47</v>
      </c>
      <c r="F11" s="1">
        <v>0.59</v>
      </c>
      <c r="G11" s="1">
        <v>0.5</v>
      </c>
      <c r="H11" s="1">
        <v>0.54</v>
      </c>
    </row>
    <row r="12">
      <c r="A12" s="9" t="s">
        <v>32</v>
      </c>
      <c r="B12" s="1">
        <v>0.62</v>
      </c>
      <c r="C12" s="1">
        <v>0.33</v>
      </c>
      <c r="D12" s="1">
        <v>0.43</v>
      </c>
      <c r="F12" s="1">
        <v>0.67</v>
      </c>
      <c r="G12" s="1">
        <v>0.42</v>
      </c>
      <c r="H12" s="1">
        <v>0.52</v>
      </c>
    </row>
    <row r="13">
      <c r="A13" s="9" t="s">
        <v>33</v>
      </c>
      <c r="B13" s="1">
        <v>0.64</v>
      </c>
      <c r="C13" s="1">
        <v>0.37</v>
      </c>
      <c r="D13" s="1">
        <v>0.47</v>
      </c>
      <c r="F13" s="1">
        <v>0.67</v>
      </c>
      <c r="G13" s="1">
        <v>0.42</v>
      </c>
      <c r="H13" s="1">
        <v>0.51</v>
      </c>
    </row>
    <row r="14">
      <c r="A14" s="9" t="s">
        <v>34</v>
      </c>
      <c r="B14" s="1">
        <v>0.57</v>
      </c>
      <c r="C14" s="1">
        <v>0.4</v>
      </c>
      <c r="D14" s="1">
        <v>0.47</v>
      </c>
      <c r="F14" s="1">
        <v>0.61</v>
      </c>
      <c r="G14" s="1">
        <v>0.46</v>
      </c>
      <c r="H14" s="1">
        <v>0.53</v>
      </c>
    </row>
    <row r="15">
      <c r="A15" s="9" t="s">
        <v>35</v>
      </c>
      <c r="B15" s="1">
        <v>0.48</v>
      </c>
      <c r="C15" s="1">
        <v>0.3</v>
      </c>
      <c r="D15" s="1">
        <v>0.37</v>
      </c>
      <c r="F15" s="1">
        <v>0.6</v>
      </c>
      <c r="G15" s="1">
        <v>0.47</v>
      </c>
      <c r="H15" s="1">
        <v>0.53</v>
      </c>
    </row>
    <row r="16">
      <c r="A16" s="9" t="s">
        <v>36</v>
      </c>
      <c r="B16" s="1">
        <v>0.5</v>
      </c>
      <c r="C16" s="1">
        <v>0.31</v>
      </c>
      <c r="D16" s="1">
        <v>0.39</v>
      </c>
      <c r="F16" s="1">
        <v>0.61</v>
      </c>
      <c r="G16" s="1">
        <v>0.47</v>
      </c>
      <c r="H16" s="1">
        <v>0.53</v>
      </c>
    </row>
    <row r="17">
      <c r="A17" s="9" t="s">
        <v>37</v>
      </c>
      <c r="B17" s="1">
        <v>0.48</v>
      </c>
      <c r="C17" s="1">
        <v>0.31</v>
      </c>
      <c r="D17" s="1">
        <v>0.38</v>
      </c>
      <c r="F17" s="1">
        <v>0.6</v>
      </c>
      <c r="G17" s="1">
        <v>0.5</v>
      </c>
      <c r="H17" s="1">
        <v>0.55</v>
      </c>
    </row>
    <row r="18">
      <c r="A18" s="9" t="s">
        <v>38</v>
      </c>
      <c r="B18" s="1">
        <v>0.51</v>
      </c>
      <c r="C18" s="1">
        <v>0.3</v>
      </c>
      <c r="D18" s="1">
        <v>0.38</v>
      </c>
      <c r="F18" s="1">
        <v>0.66</v>
      </c>
      <c r="G18" s="1">
        <v>0.46</v>
      </c>
      <c r="H18" s="1">
        <v>0.54</v>
      </c>
    </row>
    <row r="19">
      <c r="A19" s="9" t="s">
        <v>39</v>
      </c>
      <c r="B19" s="1">
        <v>0.45</v>
      </c>
      <c r="C19" s="1">
        <v>0.31</v>
      </c>
      <c r="D19" s="1">
        <v>0.37</v>
      </c>
      <c r="F19" s="1">
        <v>0.6</v>
      </c>
      <c r="G19" s="1">
        <v>0.49</v>
      </c>
      <c r="H19" s="1">
        <v>0.54</v>
      </c>
    </row>
    <row r="20">
      <c r="A20" s="9" t="s">
        <v>40</v>
      </c>
      <c r="B20" s="1">
        <v>0.49</v>
      </c>
      <c r="C20" s="1">
        <v>0.27</v>
      </c>
      <c r="D20" s="1">
        <v>0.35</v>
      </c>
      <c r="F20" s="1">
        <v>0.63</v>
      </c>
      <c r="G20" s="1">
        <v>0.44</v>
      </c>
      <c r="H20" s="1">
        <v>0.52</v>
      </c>
    </row>
    <row r="21">
      <c r="A21" s="9" t="s">
        <v>41</v>
      </c>
      <c r="B21" s="1">
        <v>0.47</v>
      </c>
      <c r="C21" s="1">
        <v>0.33</v>
      </c>
      <c r="D21" s="1">
        <v>0.39</v>
      </c>
      <c r="F21" s="1">
        <v>0.59</v>
      </c>
      <c r="G21" s="1">
        <v>0.5</v>
      </c>
      <c r="H21" s="1">
        <v>0.54</v>
      </c>
    </row>
    <row r="22">
      <c r="A22" s="9" t="s">
        <v>42</v>
      </c>
      <c r="B22" s="1">
        <v>0.46</v>
      </c>
      <c r="C22" s="1">
        <v>0.34</v>
      </c>
      <c r="D22" s="1">
        <v>0.39</v>
      </c>
      <c r="F22" s="1">
        <v>0.57</v>
      </c>
      <c r="G22" s="1">
        <v>0.53</v>
      </c>
      <c r="H22" s="1">
        <v>0.55</v>
      </c>
    </row>
    <row r="23">
      <c r="A23" s="9" t="s">
        <v>43</v>
      </c>
      <c r="B23" s="1">
        <v>0.49</v>
      </c>
      <c r="C23" s="1">
        <v>0.33</v>
      </c>
      <c r="D23" s="1">
        <v>0.39</v>
      </c>
      <c r="F23" s="1">
        <v>0.6</v>
      </c>
      <c r="G23" s="1">
        <v>0.47</v>
      </c>
      <c r="H23" s="1">
        <v>0.53</v>
      </c>
    </row>
    <row r="24">
      <c r="A24" s="9" t="s">
        <v>44</v>
      </c>
      <c r="B24" s="1">
        <v>0.46</v>
      </c>
      <c r="C24" s="1">
        <v>0.33</v>
      </c>
      <c r="D24" s="1">
        <v>0.38</v>
      </c>
      <c r="F24" s="1">
        <v>0.59</v>
      </c>
      <c r="G24" s="1">
        <v>0.51</v>
      </c>
      <c r="H24" s="1">
        <v>0.55</v>
      </c>
    </row>
    <row r="25">
      <c r="A25" s="9" t="s">
        <v>45</v>
      </c>
      <c r="B25" s="1">
        <v>0.45</v>
      </c>
      <c r="C25" s="1">
        <v>0.31</v>
      </c>
      <c r="D25" s="1">
        <v>0.37</v>
      </c>
      <c r="F25" s="1">
        <v>0.6</v>
      </c>
      <c r="G25" s="1">
        <v>0.49</v>
      </c>
      <c r="H25" s="1">
        <v>0.54</v>
      </c>
    </row>
    <row r="26">
      <c r="A26" s="9" t="s">
        <v>46</v>
      </c>
      <c r="B26" s="1">
        <v>0.49</v>
      </c>
      <c r="C26" s="1">
        <v>0.3</v>
      </c>
      <c r="D26" s="1">
        <v>0.37</v>
      </c>
      <c r="F26" s="1">
        <v>0.59</v>
      </c>
      <c r="G26" s="1">
        <v>0.44</v>
      </c>
      <c r="H26" s="1">
        <v>0.51</v>
      </c>
    </row>
    <row r="27">
      <c r="A27" s="9" t="s">
        <v>47</v>
      </c>
      <c r="B27" s="1">
        <v>0.48</v>
      </c>
      <c r="C27" s="1">
        <v>0.29</v>
      </c>
      <c r="D27" s="1">
        <v>0.36</v>
      </c>
      <c r="F27" s="1">
        <v>0.62</v>
      </c>
      <c r="G27" s="1">
        <v>0.47</v>
      </c>
      <c r="H27" s="1">
        <v>0.53</v>
      </c>
    </row>
    <row r="28">
      <c r="A28" s="9" t="s">
        <v>48</v>
      </c>
      <c r="B28" s="1">
        <v>0.47</v>
      </c>
      <c r="C28" s="1">
        <v>0.34</v>
      </c>
      <c r="D28" s="1">
        <v>0.39</v>
      </c>
      <c r="F28" s="1">
        <v>0.6</v>
      </c>
      <c r="G28" s="1">
        <v>0.5</v>
      </c>
      <c r="H28" s="1">
        <v>0.55</v>
      </c>
    </row>
    <row r="29">
      <c r="A29" s="9" t="s">
        <v>49</v>
      </c>
      <c r="B29" s="1">
        <v>0.5</v>
      </c>
      <c r="C29" s="1">
        <v>0.31</v>
      </c>
      <c r="D29" s="1">
        <v>0.38</v>
      </c>
      <c r="F29" s="1">
        <v>0.62</v>
      </c>
      <c r="G29" s="1">
        <v>0.48</v>
      </c>
      <c r="H29" s="1">
        <v>0.54</v>
      </c>
    </row>
    <row r="30">
      <c r="A30" s="5" t="s">
        <v>50</v>
      </c>
      <c r="B30" s="7">
        <f t="shared" ref="B30:D30" si="1">VAR(B5:B29)</f>
        <v>0.004026</v>
      </c>
      <c r="C30" s="7">
        <f t="shared" si="1"/>
        <v>0.002122666667</v>
      </c>
      <c r="D30" s="7">
        <f t="shared" si="1"/>
        <v>0.002392333333</v>
      </c>
      <c r="F30" s="7">
        <f t="shared" ref="F30:H30" si="2">VAR(F5:F29)</f>
        <v>0.0007093333333</v>
      </c>
      <c r="G30" s="7">
        <f t="shared" si="2"/>
        <v>0.0008583333333</v>
      </c>
      <c r="H30" s="7">
        <f t="shared" si="2"/>
        <v>0.0002043333333</v>
      </c>
    </row>
    <row r="31">
      <c r="A31" s="5" t="s">
        <v>51</v>
      </c>
      <c r="B31" s="7">
        <f t="shared" ref="B31:D31" si="3">STDEV(B5:B29)</f>
        <v>0.06345076832</v>
      </c>
      <c r="C31" s="7">
        <f t="shared" si="3"/>
        <v>0.04607240678</v>
      </c>
      <c r="D31" s="7">
        <f t="shared" si="3"/>
        <v>0.04891148468</v>
      </c>
      <c r="F31" s="7">
        <f t="shared" ref="F31:H31" si="4">STDEV(F5:F29)</f>
        <v>0.02663331247</v>
      </c>
      <c r="G31" s="7">
        <f t="shared" si="4"/>
        <v>0.02929732639</v>
      </c>
      <c r="H31" s="7">
        <f t="shared" si="4"/>
        <v>0.01429452109</v>
      </c>
    </row>
    <row r="32">
      <c r="A32" s="5" t="s">
        <v>52</v>
      </c>
      <c r="B32" s="7">
        <f t="shared" ref="B32:D32" si="5">AVERAGE(B5:B29)</f>
        <v>0.5252</v>
      </c>
      <c r="C32" s="7">
        <f t="shared" si="5"/>
        <v>0.3432</v>
      </c>
      <c r="D32" s="7">
        <f t="shared" si="5"/>
        <v>0.4144</v>
      </c>
      <c r="F32" s="7">
        <f t="shared" ref="F32:H32" si="6">AVERAGE(F5:F29)</f>
        <v>0.6152</v>
      </c>
      <c r="G32" s="7">
        <f t="shared" si="6"/>
        <v>0.47</v>
      </c>
      <c r="H32" s="7">
        <f t="shared" si="6"/>
        <v>0.5328</v>
      </c>
    </row>
  </sheetData>
  <mergeCells count="2">
    <mergeCell ref="B4:D4"/>
    <mergeCell ref="F4:H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0.62</v>
      </c>
      <c r="C5" s="1">
        <v>0.54</v>
      </c>
      <c r="D5" s="1">
        <v>0.57</v>
      </c>
      <c r="F5" s="1">
        <v>0.67</v>
      </c>
      <c r="G5" s="1">
        <v>0.6</v>
      </c>
      <c r="H5" s="1">
        <v>0.63</v>
      </c>
    </row>
    <row r="6">
      <c r="A6" s="9" t="s">
        <v>26</v>
      </c>
      <c r="B6" s="1">
        <v>0.56</v>
      </c>
      <c r="C6" s="1">
        <v>0.58</v>
      </c>
      <c r="D6" s="1">
        <v>0.57</v>
      </c>
      <c r="F6" s="1">
        <v>0.6</v>
      </c>
      <c r="G6" s="1">
        <v>0.63</v>
      </c>
      <c r="H6" s="1">
        <v>0.62</v>
      </c>
    </row>
    <row r="7">
      <c r="A7" s="9" t="s">
        <v>27</v>
      </c>
      <c r="B7" s="1">
        <v>0.56</v>
      </c>
      <c r="C7" s="1">
        <v>0.55</v>
      </c>
      <c r="D7" s="1">
        <v>0.56</v>
      </c>
      <c r="F7" s="1">
        <v>0.63</v>
      </c>
      <c r="G7" s="1">
        <v>0.61</v>
      </c>
      <c r="H7" s="1">
        <v>0.62</v>
      </c>
    </row>
    <row r="8">
      <c r="A8" s="9" t="s">
        <v>28</v>
      </c>
      <c r="B8" s="1">
        <v>0.64</v>
      </c>
      <c r="C8" s="1">
        <v>0.53</v>
      </c>
      <c r="D8" s="1">
        <v>0.58</v>
      </c>
      <c r="F8" s="1">
        <v>0.7</v>
      </c>
      <c r="G8" s="1">
        <v>0.59</v>
      </c>
      <c r="H8" s="1">
        <v>0.64</v>
      </c>
    </row>
    <row r="9">
      <c r="A9" s="9" t="s">
        <v>29</v>
      </c>
      <c r="B9" s="1">
        <v>0.59</v>
      </c>
      <c r="C9" s="1">
        <v>0.6</v>
      </c>
      <c r="D9" s="1">
        <v>0.6</v>
      </c>
      <c r="F9" s="1">
        <v>0.62</v>
      </c>
      <c r="G9" s="1">
        <v>0.62</v>
      </c>
      <c r="H9" s="1">
        <v>0.62</v>
      </c>
    </row>
    <row r="10">
      <c r="A10" s="9" t="s">
        <v>30</v>
      </c>
      <c r="B10" s="1">
        <v>0.51</v>
      </c>
      <c r="C10" s="1">
        <v>0.63</v>
      </c>
      <c r="D10" s="1">
        <v>0.56</v>
      </c>
      <c r="F10" s="1">
        <v>0.58</v>
      </c>
      <c r="G10" s="1">
        <v>0.65</v>
      </c>
      <c r="H10" s="1">
        <v>0.62</v>
      </c>
    </row>
    <row r="11">
      <c r="A11" s="9" t="s">
        <v>31</v>
      </c>
      <c r="B11" s="1">
        <v>0.62</v>
      </c>
      <c r="C11" s="1">
        <v>0.54</v>
      </c>
      <c r="D11" s="1">
        <v>0.57</v>
      </c>
      <c r="F11" s="1">
        <v>0.65</v>
      </c>
      <c r="G11" s="1">
        <v>0.59</v>
      </c>
      <c r="H11" s="1">
        <v>0.62</v>
      </c>
    </row>
    <row r="12">
      <c r="A12" s="9" t="s">
        <v>32</v>
      </c>
      <c r="B12" s="1">
        <v>0.58</v>
      </c>
      <c r="C12" s="1">
        <v>0.57</v>
      </c>
      <c r="D12" s="1">
        <v>0.58</v>
      </c>
      <c r="F12" s="1">
        <v>0.64</v>
      </c>
      <c r="G12" s="1">
        <v>0.6</v>
      </c>
      <c r="H12" s="1">
        <v>0.62</v>
      </c>
    </row>
    <row r="13">
      <c r="A13" s="9" t="s">
        <v>33</v>
      </c>
      <c r="B13" s="1">
        <v>0.61</v>
      </c>
      <c r="C13" s="1">
        <v>0.54</v>
      </c>
      <c r="D13" s="1">
        <v>0.57</v>
      </c>
      <c r="F13" s="1">
        <v>0.64</v>
      </c>
      <c r="G13" s="1">
        <v>0.6</v>
      </c>
      <c r="H13" s="1">
        <v>0.62</v>
      </c>
    </row>
    <row r="14">
      <c r="A14" s="9" t="s">
        <v>34</v>
      </c>
      <c r="B14" s="1">
        <v>0.6</v>
      </c>
      <c r="C14" s="1">
        <v>0.53</v>
      </c>
      <c r="D14" s="1">
        <v>0.56</v>
      </c>
      <c r="F14" s="1">
        <v>0.64</v>
      </c>
      <c r="G14" s="1">
        <v>0.59</v>
      </c>
      <c r="H14" s="1">
        <v>0.61</v>
      </c>
    </row>
    <row r="15">
      <c r="A15" s="9" t="s">
        <v>35</v>
      </c>
      <c r="B15" s="1">
        <v>0.54</v>
      </c>
      <c r="C15" s="1">
        <v>0.38</v>
      </c>
      <c r="D15" s="1">
        <v>0.44</v>
      </c>
      <c r="F15" s="1">
        <v>0.68</v>
      </c>
      <c r="G15" s="1">
        <v>0.56</v>
      </c>
      <c r="H15" s="1">
        <v>0.62</v>
      </c>
    </row>
    <row r="16">
      <c r="A16" s="9" t="s">
        <v>36</v>
      </c>
      <c r="B16" s="1">
        <v>0.52</v>
      </c>
      <c r="C16" s="1">
        <v>0.35</v>
      </c>
      <c r="D16" s="1">
        <v>0.42</v>
      </c>
      <c r="F16" s="1">
        <v>0.66</v>
      </c>
      <c r="G16" s="1">
        <v>0.52</v>
      </c>
      <c r="H16" s="1">
        <v>0.58</v>
      </c>
    </row>
    <row r="17">
      <c r="A17" s="9" t="s">
        <v>37</v>
      </c>
      <c r="B17" s="1">
        <v>0.52</v>
      </c>
      <c r="C17" s="1">
        <v>0.39</v>
      </c>
      <c r="D17" s="1">
        <v>0.45</v>
      </c>
      <c r="F17" s="1">
        <v>0.63</v>
      </c>
      <c r="G17" s="1">
        <v>0.56</v>
      </c>
      <c r="H17" s="1">
        <v>0.6</v>
      </c>
    </row>
    <row r="18">
      <c r="A18" s="9" t="s">
        <v>38</v>
      </c>
      <c r="B18" s="1">
        <v>0.5</v>
      </c>
      <c r="C18" s="1">
        <v>0.37</v>
      </c>
      <c r="D18" s="1">
        <v>0.43</v>
      </c>
      <c r="F18" s="1">
        <v>0.68</v>
      </c>
      <c r="G18" s="1">
        <v>0.57</v>
      </c>
      <c r="H18" s="1">
        <v>0.62</v>
      </c>
    </row>
    <row r="19">
      <c r="A19" s="9" t="s">
        <v>39</v>
      </c>
      <c r="B19" s="1">
        <v>0.5</v>
      </c>
      <c r="C19" s="1">
        <v>0.4</v>
      </c>
      <c r="D19" s="1">
        <v>0.44</v>
      </c>
      <c r="F19" s="1">
        <v>0.68</v>
      </c>
      <c r="G19" s="1">
        <v>0.6</v>
      </c>
      <c r="H19" s="1">
        <v>0.63</v>
      </c>
    </row>
    <row r="20">
      <c r="A20" s="9" t="s">
        <v>40</v>
      </c>
      <c r="B20" s="1">
        <v>0.5</v>
      </c>
      <c r="C20" s="1">
        <v>0.43</v>
      </c>
      <c r="D20" s="1">
        <v>0.46</v>
      </c>
      <c r="F20" s="1">
        <v>0.63</v>
      </c>
      <c r="G20" s="1">
        <v>0.62</v>
      </c>
      <c r="H20" s="1">
        <v>0.63</v>
      </c>
    </row>
    <row r="21">
      <c r="A21" s="9" t="s">
        <v>41</v>
      </c>
      <c r="B21" s="1">
        <v>0.52</v>
      </c>
      <c r="C21" s="1">
        <v>0.36</v>
      </c>
      <c r="D21" s="1">
        <v>0.42</v>
      </c>
      <c r="F21" s="1">
        <v>0.69</v>
      </c>
      <c r="G21" s="1">
        <v>0.56</v>
      </c>
      <c r="H21" s="1">
        <v>0.62</v>
      </c>
    </row>
    <row r="22">
      <c r="A22" s="9" t="s">
        <v>42</v>
      </c>
      <c r="B22" s="1">
        <v>0.5</v>
      </c>
      <c r="C22" s="1">
        <v>0.43</v>
      </c>
      <c r="D22" s="1">
        <v>0.46</v>
      </c>
      <c r="F22" s="1">
        <v>0.62</v>
      </c>
      <c r="G22" s="1">
        <v>0.61</v>
      </c>
      <c r="H22" s="1">
        <v>0.61</v>
      </c>
    </row>
    <row r="23">
      <c r="A23" s="9" t="s">
        <v>43</v>
      </c>
      <c r="B23" s="1">
        <v>0.53</v>
      </c>
      <c r="C23" s="1">
        <v>0.39</v>
      </c>
      <c r="D23" s="1">
        <v>0.45</v>
      </c>
      <c r="F23" s="1">
        <v>0.7</v>
      </c>
      <c r="G23" s="1">
        <v>0.6</v>
      </c>
      <c r="H23" s="1">
        <v>0.65</v>
      </c>
    </row>
    <row r="24">
      <c r="A24" s="9" t="s">
        <v>44</v>
      </c>
      <c r="B24" s="1">
        <v>0.49</v>
      </c>
      <c r="C24" s="1">
        <v>0.39</v>
      </c>
      <c r="D24" s="1">
        <v>0.43</v>
      </c>
      <c r="F24" s="1">
        <v>0.66</v>
      </c>
      <c r="G24" s="1">
        <v>0.58</v>
      </c>
      <c r="H24" s="1">
        <v>0.62</v>
      </c>
    </row>
    <row r="25">
      <c r="A25" s="9" t="s">
        <v>45</v>
      </c>
      <c r="B25" s="1">
        <v>0.5</v>
      </c>
      <c r="C25" s="1">
        <v>0.41</v>
      </c>
      <c r="D25" s="1">
        <v>0.45</v>
      </c>
      <c r="F25" s="1">
        <v>0.62</v>
      </c>
      <c r="G25" s="1">
        <v>0.6</v>
      </c>
      <c r="H25" s="1">
        <v>0.61</v>
      </c>
    </row>
    <row r="26">
      <c r="A26" s="9" t="s">
        <v>46</v>
      </c>
      <c r="B26" s="1">
        <v>0.51</v>
      </c>
      <c r="C26" s="1">
        <v>0.4</v>
      </c>
      <c r="D26" s="1">
        <v>0.45</v>
      </c>
      <c r="F26" s="1">
        <v>0.65</v>
      </c>
      <c r="G26" s="1">
        <v>0.59</v>
      </c>
      <c r="H26" s="1">
        <v>0.62</v>
      </c>
    </row>
    <row r="27">
      <c r="A27" s="9" t="s">
        <v>47</v>
      </c>
      <c r="B27" s="1">
        <v>0.54</v>
      </c>
      <c r="C27" s="1">
        <v>0.34</v>
      </c>
      <c r="D27" s="1">
        <v>0.42</v>
      </c>
      <c r="F27" s="1">
        <v>0.67</v>
      </c>
      <c r="G27" s="1">
        <v>0.51</v>
      </c>
      <c r="H27" s="1">
        <v>0.58</v>
      </c>
    </row>
    <row r="28">
      <c r="A28" s="9" t="s">
        <v>48</v>
      </c>
      <c r="B28" s="1">
        <v>0.52</v>
      </c>
      <c r="C28" s="1">
        <v>0.36</v>
      </c>
      <c r="D28" s="1">
        <v>0.43</v>
      </c>
      <c r="F28" s="1">
        <v>0.69</v>
      </c>
      <c r="G28" s="1">
        <v>0.54</v>
      </c>
      <c r="H28" s="1">
        <v>0.61</v>
      </c>
    </row>
    <row r="29">
      <c r="A29" s="9" t="s">
        <v>49</v>
      </c>
      <c r="B29" s="1">
        <v>0.54</v>
      </c>
      <c r="C29" s="1">
        <v>0.37</v>
      </c>
      <c r="D29" s="1">
        <v>0.44</v>
      </c>
      <c r="F29" s="1">
        <v>0.67</v>
      </c>
      <c r="G29" s="1">
        <v>0.56</v>
      </c>
      <c r="H29" s="1">
        <v>0.61</v>
      </c>
    </row>
    <row r="30">
      <c r="A30" s="5" t="s">
        <v>50</v>
      </c>
      <c r="B30" s="7">
        <f t="shared" ref="B30:D30" si="1">VAR(B5:B29)</f>
        <v>0.002067666667</v>
      </c>
      <c r="C30" s="7">
        <f t="shared" si="1"/>
        <v>0.008617666667</v>
      </c>
      <c r="D30" s="7">
        <f t="shared" si="1"/>
        <v>0.004569</v>
      </c>
      <c r="F30" s="7">
        <f t="shared" ref="F30:H30" si="2">VAR(F5:F29)</f>
        <v>0.0009916666667</v>
      </c>
      <c r="G30" s="7">
        <f t="shared" si="2"/>
        <v>0.001082333333</v>
      </c>
      <c r="H30" s="7">
        <f t="shared" si="2"/>
        <v>0.0002293333333</v>
      </c>
    </row>
    <row r="31">
      <c r="A31" s="5" t="s">
        <v>51</v>
      </c>
      <c r="B31" s="7">
        <f t="shared" ref="B31:D31" si="3">STDEV(B5:B29)</f>
        <v>0.04547160286</v>
      </c>
      <c r="C31" s="7">
        <f t="shared" si="3"/>
        <v>0.09283138837</v>
      </c>
      <c r="D31" s="7">
        <f t="shared" si="3"/>
        <v>0.06759437846</v>
      </c>
      <c r="F31" s="7">
        <f t="shared" ref="F31:H31" si="4">STDEV(F5:F29)</f>
        <v>0.03149073938</v>
      </c>
      <c r="G31" s="7">
        <f t="shared" si="4"/>
        <v>0.03289883483</v>
      </c>
      <c r="H31" s="7">
        <f t="shared" si="4"/>
        <v>0.01514375559</v>
      </c>
    </row>
    <row r="32">
      <c r="A32" s="5" t="s">
        <v>52</v>
      </c>
      <c r="B32" s="7">
        <f t="shared" ref="B32:D32" si="5">AVERAGE(B5:B29)</f>
        <v>0.5448</v>
      </c>
      <c r="C32" s="7">
        <f t="shared" si="5"/>
        <v>0.4552</v>
      </c>
      <c r="D32" s="7">
        <f t="shared" si="5"/>
        <v>0.4924</v>
      </c>
      <c r="F32" s="7">
        <f t="shared" ref="F32:H32" si="6">AVERAGE(F5:F29)</f>
        <v>0.652</v>
      </c>
      <c r="G32" s="7">
        <f t="shared" si="6"/>
        <v>0.5864</v>
      </c>
      <c r="H32" s="7">
        <f t="shared" si="6"/>
        <v>0.6172</v>
      </c>
    </row>
  </sheetData>
  <mergeCells count="2">
    <mergeCell ref="B4:D4"/>
    <mergeCell ref="F4:H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0.51</v>
      </c>
      <c r="C5" s="1">
        <v>0.5</v>
      </c>
      <c r="D5" s="1">
        <v>0.51</v>
      </c>
      <c r="F5" s="1">
        <v>0.51</v>
      </c>
      <c r="G5" s="1">
        <v>0.52</v>
      </c>
      <c r="H5" s="1">
        <v>0.52</v>
      </c>
    </row>
    <row r="6">
      <c r="A6" s="9" t="s">
        <v>26</v>
      </c>
      <c r="B6" s="1">
        <v>0.58</v>
      </c>
      <c r="C6" s="1">
        <v>0.52</v>
      </c>
      <c r="D6" s="1">
        <v>0.55</v>
      </c>
      <c r="F6" s="1">
        <v>0.61</v>
      </c>
      <c r="G6" s="1">
        <v>0.56</v>
      </c>
      <c r="H6" s="1">
        <v>0.58</v>
      </c>
    </row>
    <row r="7">
      <c r="A7" s="9" t="s">
        <v>27</v>
      </c>
      <c r="B7" s="1">
        <v>0.52</v>
      </c>
      <c r="C7" s="1">
        <v>0.53</v>
      </c>
      <c r="D7" s="1">
        <v>0.53</v>
      </c>
      <c r="F7" s="1">
        <v>0.56</v>
      </c>
      <c r="G7" s="1">
        <v>0.56</v>
      </c>
      <c r="H7" s="1">
        <v>0.56</v>
      </c>
    </row>
    <row r="8">
      <c r="A8" s="9" t="s">
        <v>28</v>
      </c>
      <c r="B8" s="1">
        <v>0.59</v>
      </c>
      <c r="C8" s="1">
        <v>0.53</v>
      </c>
      <c r="D8" s="1">
        <v>0.56</v>
      </c>
      <c r="F8" s="1">
        <v>0.62</v>
      </c>
      <c r="G8" s="1">
        <v>0.58</v>
      </c>
      <c r="H8" s="1">
        <v>0.6</v>
      </c>
    </row>
    <row r="9">
      <c r="A9" s="9" t="s">
        <v>29</v>
      </c>
      <c r="B9" s="1">
        <v>0.52</v>
      </c>
      <c r="C9" s="1">
        <v>0.53</v>
      </c>
      <c r="D9" s="1">
        <v>0.52</v>
      </c>
      <c r="F9" s="1">
        <v>0.56</v>
      </c>
      <c r="G9" s="1">
        <v>0.57</v>
      </c>
      <c r="H9" s="1">
        <v>0.57</v>
      </c>
    </row>
    <row r="10">
      <c r="A10" s="9" t="s">
        <v>30</v>
      </c>
      <c r="B10" s="1">
        <v>0.56</v>
      </c>
      <c r="C10" s="1">
        <v>0.5</v>
      </c>
      <c r="D10" s="1">
        <v>0.52</v>
      </c>
      <c r="F10" s="1">
        <v>0.62</v>
      </c>
      <c r="G10" s="1">
        <v>0.55</v>
      </c>
      <c r="H10" s="1">
        <v>0.58</v>
      </c>
    </row>
    <row r="11">
      <c r="A11" s="9" t="s">
        <v>31</v>
      </c>
      <c r="B11" s="1">
        <v>0.56</v>
      </c>
      <c r="C11" s="1">
        <v>0.51</v>
      </c>
      <c r="D11" s="1">
        <v>0.53</v>
      </c>
      <c r="F11" s="1">
        <v>0.59</v>
      </c>
      <c r="G11" s="1">
        <v>0.55</v>
      </c>
      <c r="H11" s="1">
        <v>0.57</v>
      </c>
    </row>
    <row r="12">
      <c r="A12" s="9" t="s">
        <v>32</v>
      </c>
      <c r="B12" s="1">
        <v>0.58</v>
      </c>
      <c r="C12" s="1">
        <v>0.51</v>
      </c>
      <c r="D12" s="1">
        <v>0.54</v>
      </c>
      <c r="F12" s="1">
        <v>0.59</v>
      </c>
      <c r="G12" s="1">
        <v>0.56</v>
      </c>
      <c r="H12" s="1">
        <v>0.58</v>
      </c>
    </row>
    <row r="13">
      <c r="A13" s="9" t="s">
        <v>33</v>
      </c>
      <c r="B13" s="1">
        <v>0.51</v>
      </c>
      <c r="C13" s="1">
        <v>0.57</v>
      </c>
      <c r="D13" s="1">
        <v>0.54</v>
      </c>
      <c r="F13" s="1">
        <v>0.55</v>
      </c>
      <c r="G13" s="1">
        <v>0.59</v>
      </c>
      <c r="H13" s="1">
        <v>0.57</v>
      </c>
    </row>
    <row r="14">
      <c r="A14" s="9" t="s">
        <v>34</v>
      </c>
      <c r="B14" s="1">
        <v>0.58</v>
      </c>
      <c r="C14" s="1">
        <v>0.52</v>
      </c>
      <c r="D14" s="1">
        <v>0.55</v>
      </c>
      <c r="F14" s="1">
        <v>0.62</v>
      </c>
      <c r="G14" s="1">
        <v>0.56</v>
      </c>
      <c r="H14" s="1">
        <v>0.59</v>
      </c>
    </row>
    <row r="15">
      <c r="A15" s="9" t="s">
        <v>35</v>
      </c>
      <c r="B15" s="1">
        <v>0.48</v>
      </c>
      <c r="C15" s="1">
        <v>0.36</v>
      </c>
      <c r="D15" s="1">
        <v>0.41</v>
      </c>
      <c r="F15" s="1">
        <v>0.62</v>
      </c>
      <c r="G15" s="1">
        <v>0.57</v>
      </c>
      <c r="H15" s="1">
        <v>0.59</v>
      </c>
    </row>
    <row r="16">
      <c r="A16" s="9" t="s">
        <v>36</v>
      </c>
      <c r="B16" s="1">
        <v>0.48</v>
      </c>
      <c r="C16" s="1">
        <v>0.38</v>
      </c>
      <c r="D16" s="1">
        <v>0.43</v>
      </c>
      <c r="F16" s="1">
        <v>0.59</v>
      </c>
      <c r="G16" s="1">
        <v>0.56</v>
      </c>
      <c r="H16" s="1">
        <v>0.58</v>
      </c>
    </row>
    <row r="17">
      <c r="A17" s="9" t="s">
        <v>37</v>
      </c>
      <c r="B17" s="1">
        <v>0.48</v>
      </c>
      <c r="C17" s="1">
        <v>0.34</v>
      </c>
      <c r="D17" s="1">
        <v>0.4</v>
      </c>
      <c r="F17" s="1">
        <v>0.59</v>
      </c>
      <c r="G17" s="1">
        <v>0.49</v>
      </c>
      <c r="H17" s="1">
        <v>0.54</v>
      </c>
    </row>
    <row r="18">
      <c r="A18" s="9" t="s">
        <v>38</v>
      </c>
      <c r="B18" s="1">
        <v>0.54</v>
      </c>
      <c r="C18" s="1">
        <v>0.28</v>
      </c>
      <c r="D18" s="1">
        <v>0.37</v>
      </c>
      <c r="F18" s="1">
        <v>0.7</v>
      </c>
      <c r="G18" s="1">
        <v>0.41</v>
      </c>
      <c r="H18" s="1">
        <v>0.52</v>
      </c>
    </row>
    <row r="19">
      <c r="A19" s="9" t="s">
        <v>39</v>
      </c>
      <c r="B19" s="1">
        <v>0.48</v>
      </c>
      <c r="C19" s="1">
        <v>0.4</v>
      </c>
      <c r="D19" s="1">
        <v>0.44</v>
      </c>
      <c r="F19" s="1">
        <v>0.58</v>
      </c>
      <c r="G19" s="1">
        <v>0.57</v>
      </c>
      <c r="H19" s="1">
        <v>0.57</v>
      </c>
    </row>
    <row r="20">
      <c r="A20" s="9" t="s">
        <v>40</v>
      </c>
      <c r="B20" s="1">
        <v>0.5</v>
      </c>
      <c r="C20" s="1">
        <v>0.37</v>
      </c>
      <c r="D20" s="1">
        <v>0.43</v>
      </c>
      <c r="F20" s="1">
        <v>0.62</v>
      </c>
      <c r="G20" s="1">
        <v>0.55</v>
      </c>
      <c r="H20" s="1">
        <v>0.58</v>
      </c>
    </row>
    <row r="21">
      <c r="A21" s="9" t="s">
        <v>41</v>
      </c>
      <c r="B21" s="1">
        <v>0.42</v>
      </c>
      <c r="C21" s="1">
        <v>0.41</v>
      </c>
      <c r="D21" s="1">
        <v>0.41</v>
      </c>
      <c r="F21" s="1">
        <v>0.55</v>
      </c>
      <c r="G21" s="1">
        <v>0.58</v>
      </c>
      <c r="H21" s="1">
        <v>0.56</v>
      </c>
    </row>
    <row r="22">
      <c r="A22" s="9" t="s">
        <v>42</v>
      </c>
      <c r="B22" s="1">
        <v>0.52</v>
      </c>
      <c r="C22" s="1">
        <v>0.36</v>
      </c>
      <c r="D22" s="1">
        <v>0.42</v>
      </c>
      <c r="F22" s="1">
        <v>0.69</v>
      </c>
      <c r="G22" s="1">
        <v>0.54</v>
      </c>
      <c r="H22" s="1">
        <v>0.6</v>
      </c>
    </row>
    <row r="23">
      <c r="A23" s="9" t="s">
        <v>43</v>
      </c>
      <c r="B23" s="1">
        <v>0.49</v>
      </c>
      <c r="C23" s="1">
        <v>0.4</v>
      </c>
      <c r="D23" s="1">
        <v>0.44</v>
      </c>
      <c r="F23" s="1">
        <v>0.61</v>
      </c>
      <c r="G23" s="1">
        <v>0.57</v>
      </c>
      <c r="H23" s="1">
        <v>0.59</v>
      </c>
    </row>
    <row r="24">
      <c r="A24" s="9" t="s">
        <v>44</v>
      </c>
      <c r="B24" s="1">
        <v>0.5</v>
      </c>
      <c r="C24" s="1">
        <v>0.33</v>
      </c>
      <c r="D24" s="1">
        <v>0.39</v>
      </c>
      <c r="F24" s="1">
        <v>0.64</v>
      </c>
      <c r="G24" s="1">
        <v>0.49</v>
      </c>
      <c r="H24" s="1">
        <v>0.55</v>
      </c>
    </row>
    <row r="25">
      <c r="A25" s="9" t="s">
        <v>45</v>
      </c>
      <c r="B25" s="1">
        <v>0.53</v>
      </c>
      <c r="C25" s="1">
        <v>0.33</v>
      </c>
      <c r="D25" s="1">
        <v>0.41</v>
      </c>
      <c r="F25" s="1">
        <v>0.62</v>
      </c>
      <c r="G25" s="1">
        <v>0.49</v>
      </c>
      <c r="H25" s="1">
        <v>0.55</v>
      </c>
    </row>
    <row r="26">
      <c r="A26" s="9" t="s">
        <v>46</v>
      </c>
      <c r="B26" s="1">
        <v>0.52</v>
      </c>
      <c r="C26" s="1">
        <v>0.35</v>
      </c>
      <c r="D26" s="1">
        <v>0.42</v>
      </c>
      <c r="F26" s="1">
        <v>0.66</v>
      </c>
      <c r="G26" s="1">
        <v>0.51</v>
      </c>
      <c r="H26" s="1">
        <v>0.58</v>
      </c>
    </row>
    <row r="27">
      <c r="A27" s="9" t="s">
        <v>47</v>
      </c>
      <c r="B27" s="1">
        <v>0.54</v>
      </c>
      <c r="C27" s="1">
        <v>0.37</v>
      </c>
      <c r="D27" s="1">
        <v>0.44</v>
      </c>
      <c r="F27" s="1">
        <v>0.63</v>
      </c>
      <c r="G27" s="1">
        <v>0.55</v>
      </c>
      <c r="H27" s="1">
        <v>0.59</v>
      </c>
    </row>
    <row r="28">
      <c r="A28" s="9" t="s">
        <v>48</v>
      </c>
    </row>
    <row r="29">
      <c r="A29" s="9" t="s">
        <v>49</v>
      </c>
    </row>
    <row r="30">
      <c r="A30" s="5" t="s">
        <v>50</v>
      </c>
      <c r="B30" s="7">
        <f t="shared" ref="B30:D30" si="1">VAR(B5:B27)</f>
        <v>0.001730039526</v>
      </c>
      <c r="C30" s="7">
        <f t="shared" si="1"/>
        <v>0.007595256917</v>
      </c>
      <c r="D30" s="7">
        <f t="shared" si="1"/>
        <v>0.003972332016</v>
      </c>
      <c r="F30" s="7">
        <f t="shared" ref="F30:H30" si="2">VAR(F5:F27)</f>
        <v>0.001962055336</v>
      </c>
      <c r="G30" s="7">
        <f t="shared" si="2"/>
        <v>0.001692885375</v>
      </c>
      <c r="H30" s="7">
        <f t="shared" si="2"/>
        <v>0.000495256917</v>
      </c>
    </row>
    <row r="31">
      <c r="A31" s="5" t="s">
        <v>51</v>
      </c>
      <c r="B31" s="7">
        <f t="shared" ref="B31:D31" si="3">STDEV(B5:B27)</f>
        <v>0.04159374383</v>
      </c>
      <c r="C31" s="7">
        <f t="shared" si="3"/>
        <v>0.08715077118</v>
      </c>
      <c r="D31" s="7">
        <f t="shared" si="3"/>
        <v>0.06302643902</v>
      </c>
      <c r="F31" s="7">
        <f t="shared" ref="F31:H31" si="4">STDEV(F5:F27)</f>
        <v>0.04429509381</v>
      </c>
      <c r="G31" s="7">
        <f t="shared" si="4"/>
        <v>0.0411446883</v>
      </c>
      <c r="H31" s="7">
        <f t="shared" si="4"/>
        <v>0.02225436849</v>
      </c>
    </row>
    <row r="32">
      <c r="A32" s="5" t="s">
        <v>52</v>
      </c>
      <c r="B32" s="7">
        <f t="shared" ref="B32:D32" si="5">AVERAGE(B5:B27)</f>
        <v>0.5213043478</v>
      </c>
      <c r="C32" s="7">
        <f t="shared" si="5"/>
        <v>0.4304347826</v>
      </c>
      <c r="D32" s="7">
        <f t="shared" si="5"/>
        <v>0.467826087</v>
      </c>
      <c r="F32" s="7">
        <f t="shared" ref="F32:H32" si="6">AVERAGE(F5:F27)</f>
        <v>0.6056521739</v>
      </c>
      <c r="G32" s="7">
        <f t="shared" si="6"/>
        <v>0.5426086957</v>
      </c>
      <c r="H32" s="7">
        <f t="shared" si="6"/>
        <v>0.5704347826</v>
      </c>
    </row>
  </sheetData>
  <mergeCells count="2">
    <mergeCell ref="B4:D4"/>
    <mergeCell ref="F4:H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0.5</v>
      </c>
      <c r="C5" s="1">
        <v>0.51</v>
      </c>
      <c r="D5" s="1">
        <v>0.5</v>
      </c>
      <c r="F5" s="1">
        <v>0.52</v>
      </c>
      <c r="G5" s="1">
        <v>0.57</v>
      </c>
      <c r="H5" s="1">
        <v>0.54</v>
      </c>
    </row>
    <row r="6">
      <c r="A6" s="9" t="s">
        <v>26</v>
      </c>
      <c r="B6" s="1">
        <v>0.56</v>
      </c>
      <c r="C6" s="1">
        <v>0.46</v>
      </c>
      <c r="D6" s="1">
        <v>0.51</v>
      </c>
      <c r="F6" s="1">
        <v>0.58</v>
      </c>
      <c r="G6" s="1">
        <v>0.49</v>
      </c>
      <c r="H6" s="1">
        <v>0.53</v>
      </c>
    </row>
    <row r="7">
      <c r="A7" s="9" t="s">
        <v>27</v>
      </c>
      <c r="B7" s="1">
        <v>0.51</v>
      </c>
      <c r="C7" s="1">
        <v>0.5</v>
      </c>
      <c r="D7" s="1">
        <v>0.5</v>
      </c>
      <c r="F7" s="1">
        <v>0.55</v>
      </c>
      <c r="G7" s="1">
        <v>0.54</v>
      </c>
      <c r="H7" s="1">
        <v>0.55</v>
      </c>
    </row>
    <row r="8">
      <c r="A8" s="9" t="s">
        <v>28</v>
      </c>
      <c r="B8" s="1">
        <v>0.5</v>
      </c>
      <c r="C8" s="1">
        <v>0.47</v>
      </c>
      <c r="D8" s="1">
        <v>0.49</v>
      </c>
      <c r="F8" s="1">
        <v>0.54</v>
      </c>
      <c r="G8" s="1">
        <v>0.51</v>
      </c>
      <c r="H8" s="1">
        <v>0.52</v>
      </c>
    </row>
    <row r="9">
      <c r="A9" s="9" t="s">
        <v>29</v>
      </c>
      <c r="B9" s="1">
        <v>0.53</v>
      </c>
      <c r="C9" s="1">
        <v>0.47</v>
      </c>
      <c r="D9" s="1">
        <v>0.5</v>
      </c>
      <c r="F9" s="1">
        <v>0.57</v>
      </c>
      <c r="G9" s="1">
        <v>0.53</v>
      </c>
      <c r="H9" s="1">
        <v>0.55</v>
      </c>
    </row>
    <row r="10">
      <c r="A10" s="9" t="s">
        <v>30</v>
      </c>
      <c r="B10" s="1">
        <v>0.5</v>
      </c>
      <c r="C10" s="1">
        <v>0.52</v>
      </c>
      <c r="D10" s="1">
        <v>0.51</v>
      </c>
      <c r="F10" s="1">
        <v>0.52</v>
      </c>
      <c r="G10" s="1">
        <v>0.55</v>
      </c>
      <c r="H10" s="1">
        <v>0.53</v>
      </c>
    </row>
    <row r="11">
      <c r="A11" s="9" t="s">
        <v>31</v>
      </c>
      <c r="B11" s="1">
        <v>0.5</v>
      </c>
      <c r="C11" s="1">
        <v>0.53</v>
      </c>
      <c r="D11" s="1">
        <v>0.51</v>
      </c>
      <c r="F11" s="1">
        <v>0.49</v>
      </c>
      <c r="G11" s="1">
        <v>0.56</v>
      </c>
      <c r="H11" s="1">
        <v>0.52</v>
      </c>
    </row>
    <row r="12">
      <c r="A12" s="9" t="s">
        <v>32</v>
      </c>
      <c r="B12" s="1">
        <v>0.52</v>
      </c>
      <c r="C12" s="1">
        <v>0.48</v>
      </c>
      <c r="D12" s="1">
        <v>0.5</v>
      </c>
      <c r="F12" s="1">
        <v>0.56</v>
      </c>
      <c r="G12" s="1">
        <v>0.55</v>
      </c>
      <c r="H12" s="1">
        <v>0.55</v>
      </c>
    </row>
    <row r="13">
      <c r="A13" s="9" t="s">
        <v>33</v>
      </c>
      <c r="B13" s="1">
        <v>0.53</v>
      </c>
      <c r="C13" s="1">
        <v>0.48</v>
      </c>
      <c r="D13" s="1">
        <v>0.51</v>
      </c>
      <c r="F13" s="1">
        <v>0.59</v>
      </c>
      <c r="G13" s="1">
        <v>0.53</v>
      </c>
      <c r="H13" s="1">
        <v>0.56</v>
      </c>
    </row>
    <row r="14">
      <c r="A14" s="9" t="s">
        <v>34</v>
      </c>
      <c r="B14" s="1">
        <v>0.56</v>
      </c>
      <c r="C14" s="1">
        <v>0.45</v>
      </c>
      <c r="D14" s="1">
        <v>0.5</v>
      </c>
      <c r="F14" s="1">
        <v>0.59</v>
      </c>
      <c r="G14" s="1">
        <v>0.51</v>
      </c>
      <c r="H14" s="1">
        <v>0.55</v>
      </c>
    </row>
    <row r="15">
      <c r="A15" s="9" t="s">
        <v>35</v>
      </c>
      <c r="B15" s="1">
        <v>0.47</v>
      </c>
      <c r="C15" s="1">
        <v>0.37</v>
      </c>
      <c r="D15" s="1">
        <v>0.41</v>
      </c>
      <c r="F15" s="1">
        <v>0.55</v>
      </c>
      <c r="G15" s="1">
        <v>0.52</v>
      </c>
      <c r="H15" s="1">
        <v>0.53</v>
      </c>
    </row>
    <row r="16">
      <c r="A16" s="9" t="s">
        <v>36</v>
      </c>
      <c r="B16" s="1">
        <v>0.48</v>
      </c>
      <c r="C16" s="1">
        <v>0.38</v>
      </c>
      <c r="D16" s="1">
        <v>0.43</v>
      </c>
      <c r="F16" s="1">
        <v>0.6</v>
      </c>
      <c r="G16" s="1">
        <v>0.54</v>
      </c>
      <c r="H16" s="1">
        <v>0.57</v>
      </c>
    </row>
    <row r="17">
      <c r="A17" s="9" t="s">
        <v>37</v>
      </c>
      <c r="B17" s="1">
        <v>0.43</v>
      </c>
      <c r="C17" s="1">
        <v>0.37</v>
      </c>
      <c r="D17" s="1">
        <v>0.4</v>
      </c>
      <c r="F17" s="1">
        <v>0.55</v>
      </c>
      <c r="G17" s="1">
        <v>0.51</v>
      </c>
      <c r="H17" s="1">
        <v>0.53</v>
      </c>
    </row>
    <row r="18">
      <c r="A18" s="9" t="s">
        <v>38</v>
      </c>
      <c r="B18" s="1">
        <v>0.51</v>
      </c>
      <c r="C18" s="1">
        <v>0.33</v>
      </c>
      <c r="D18" s="1">
        <v>0.4</v>
      </c>
      <c r="F18" s="1">
        <v>0.6</v>
      </c>
      <c r="G18" s="1">
        <v>0.46</v>
      </c>
      <c r="H18" s="1">
        <v>0.53</v>
      </c>
    </row>
    <row r="19">
      <c r="A19" s="9" t="s">
        <v>39</v>
      </c>
      <c r="B19" s="1">
        <v>0.45</v>
      </c>
      <c r="C19" s="1">
        <v>0.35</v>
      </c>
      <c r="D19" s="1">
        <v>0.39</v>
      </c>
      <c r="F19" s="1">
        <v>0.56</v>
      </c>
      <c r="G19" s="1">
        <v>0.5</v>
      </c>
      <c r="H19" s="1">
        <v>0.53</v>
      </c>
    </row>
    <row r="20">
      <c r="A20" s="9" t="s">
        <v>40</v>
      </c>
      <c r="B20" s="1">
        <v>0.48</v>
      </c>
      <c r="C20" s="1">
        <v>0.36</v>
      </c>
      <c r="D20" s="1">
        <v>0.41</v>
      </c>
      <c r="F20" s="1">
        <v>0.59</v>
      </c>
      <c r="G20" s="1">
        <v>0.5</v>
      </c>
      <c r="H20" s="1">
        <v>0.54</v>
      </c>
    </row>
    <row r="21">
      <c r="A21" s="9" t="s">
        <v>41</v>
      </c>
      <c r="B21" s="1">
        <v>0.48</v>
      </c>
      <c r="C21" s="1">
        <v>0.36</v>
      </c>
      <c r="D21" s="1">
        <v>0.41</v>
      </c>
      <c r="F21" s="1">
        <v>0.57</v>
      </c>
      <c r="G21" s="1">
        <v>0.54</v>
      </c>
      <c r="H21" s="1">
        <v>0.56</v>
      </c>
    </row>
    <row r="22">
      <c r="A22" s="9" t="s">
        <v>42</v>
      </c>
      <c r="B22" s="1">
        <v>0.5</v>
      </c>
      <c r="C22" s="1">
        <v>0.34</v>
      </c>
      <c r="D22" s="1">
        <v>0.41</v>
      </c>
      <c r="F22" s="1">
        <v>0.58</v>
      </c>
      <c r="G22" s="1">
        <v>0.49</v>
      </c>
      <c r="H22" s="1">
        <v>0.53</v>
      </c>
    </row>
    <row r="23">
      <c r="A23" s="9" t="s">
        <v>43</v>
      </c>
      <c r="B23" s="1">
        <v>0.5</v>
      </c>
      <c r="C23" s="1">
        <v>0.32</v>
      </c>
      <c r="D23" s="1">
        <v>0.39</v>
      </c>
      <c r="F23" s="1">
        <v>0.61</v>
      </c>
      <c r="G23" s="1">
        <v>0.5</v>
      </c>
      <c r="H23" s="1">
        <v>0.55</v>
      </c>
    </row>
    <row r="24">
      <c r="A24" s="9" t="s">
        <v>44</v>
      </c>
      <c r="B24" s="1">
        <v>0.47</v>
      </c>
      <c r="C24" s="1">
        <v>0.38</v>
      </c>
      <c r="D24" s="1">
        <v>0.42</v>
      </c>
      <c r="F24" s="1">
        <v>0.59</v>
      </c>
      <c r="G24" s="1">
        <v>0.55</v>
      </c>
      <c r="H24" s="1">
        <v>0.57</v>
      </c>
    </row>
    <row r="25">
      <c r="A25" s="9" t="s">
        <v>45</v>
      </c>
      <c r="B25" s="1">
        <v>0.47</v>
      </c>
      <c r="C25" s="1">
        <v>0.35</v>
      </c>
      <c r="D25" s="1">
        <v>0.4</v>
      </c>
      <c r="F25" s="1">
        <v>0.6</v>
      </c>
      <c r="G25" s="1">
        <v>0.5</v>
      </c>
      <c r="H25" s="1">
        <v>0.55</v>
      </c>
    </row>
    <row r="26">
      <c r="A26" s="9" t="s">
        <v>46</v>
      </c>
      <c r="B26" s="1">
        <v>0.45</v>
      </c>
      <c r="C26" s="1">
        <v>0.38</v>
      </c>
      <c r="D26" s="1">
        <v>0.41</v>
      </c>
      <c r="F26" s="1">
        <v>0.55</v>
      </c>
      <c r="G26" s="1">
        <v>0.54</v>
      </c>
      <c r="H26" s="1">
        <v>0.55</v>
      </c>
    </row>
    <row r="27">
      <c r="A27" s="9" t="s">
        <v>47</v>
      </c>
      <c r="B27" s="1">
        <v>0.45</v>
      </c>
      <c r="C27" s="1">
        <v>0.36</v>
      </c>
      <c r="D27" s="1">
        <v>0.4</v>
      </c>
      <c r="F27" s="1">
        <v>0.58</v>
      </c>
      <c r="G27" s="1">
        <v>0.55</v>
      </c>
      <c r="H27" s="1">
        <v>0.57</v>
      </c>
    </row>
    <row r="28">
      <c r="A28" s="9" t="s">
        <v>48</v>
      </c>
      <c r="B28" s="1">
        <v>0.47</v>
      </c>
      <c r="C28" s="1">
        <v>0.36</v>
      </c>
      <c r="D28" s="1">
        <v>0.41</v>
      </c>
      <c r="F28" s="1">
        <v>0.59</v>
      </c>
      <c r="G28" s="1">
        <v>0.5</v>
      </c>
      <c r="H28" s="1">
        <v>0.54</v>
      </c>
    </row>
    <row r="29">
      <c r="A29" s="9" t="s">
        <v>49</v>
      </c>
      <c r="B29" s="1">
        <v>0.48</v>
      </c>
      <c r="C29" s="1">
        <v>0.34</v>
      </c>
      <c r="D29" s="1">
        <v>0.39</v>
      </c>
      <c r="F29" s="1">
        <v>0.6</v>
      </c>
      <c r="G29" s="1">
        <v>0.52</v>
      </c>
      <c r="H29" s="1">
        <v>0.56</v>
      </c>
    </row>
    <row r="30">
      <c r="A30" s="5" t="s">
        <v>50</v>
      </c>
      <c r="B30" s="7">
        <f t="shared" ref="B30:D30" si="1">VAR(B5:B29)</f>
        <v>0.001066666667</v>
      </c>
      <c r="C30" s="7">
        <f t="shared" si="1"/>
        <v>0.004711</v>
      </c>
      <c r="D30" s="7">
        <f t="shared" si="1"/>
        <v>0.002475666667</v>
      </c>
      <c r="F30" s="7">
        <f t="shared" ref="F30:H30" si="2">VAR(F5:F29)</f>
        <v>0.0008993333333</v>
      </c>
      <c r="G30" s="7">
        <f t="shared" si="2"/>
        <v>0.0007106666667</v>
      </c>
      <c r="H30" s="7">
        <f t="shared" si="2"/>
        <v>0.000234</v>
      </c>
    </row>
    <row r="31">
      <c r="A31" s="5" t="s">
        <v>51</v>
      </c>
      <c r="B31" s="7">
        <f t="shared" ref="B31:D31" si="3">STDEV(B5:B29)</f>
        <v>0.03265986324</v>
      </c>
      <c r="C31" s="7">
        <f t="shared" si="3"/>
        <v>0.06863672486</v>
      </c>
      <c r="D31" s="7">
        <f t="shared" si="3"/>
        <v>0.04975607166</v>
      </c>
      <c r="F31" s="7">
        <f t="shared" ref="F31:H31" si="4">STDEV(F5:F29)</f>
        <v>0.02998888683</v>
      </c>
      <c r="G31" s="7">
        <f t="shared" si="4"/>
        <v>0.02665833203</v>
      </c>
      <c r="H31" s="7">
        <f t="shared" si="4"/>
        <v>0.01529705854</v>
      </c>
    </row>
    <row r="32">
      <c r="A32" s="5" t="s">
        <v>52</v>
      </c>
      <c r="B32" s="7">
        <f t="shared" ref="B32:D32" si="5">AVERAGE(B5:B29)</f>
        <v>0.492</v>
      </c>
      <c r="C32" s="7">
        <f t="shared" si="5"/>
        <v>0.4088</v>
      </c>
      <c r="D32" s="7">
        <f t="shared" si="5"/>
        <v>0.4444</v>
      </c>
      <c r="F32" s="7">
        <f t="shared" ref="F32:H32" si="6">AVERAGE(F5:F29)</f>
        <v>0.5692</v>
      </c>
      <c r="G32" s="7">
        <f t="shared" si="6"/>
        <v>0.5224</v>
      </c>
      <c r="H32" s="7">
        <f t="shared" si="6"/>
        <v>0.5444</v>
      </c>
    </row>
  </sheetData>
  <mergeCells count="2">
    <mergeCell ref="B4:D4"/>
    <mergeCell ref="F4:H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0.55</v>
      </c>
      <c r="C5" s="1">
        <v>0.59</v>
      </c>
      <c r="D5" s="1">
        <v>0.57</v>
      </c>
      <c r="F5" s="1">
        <v>0.57</v>
      </c>
      <c r="G5" s="1">
        <v>0.62</v>
      </c>
      <c r="H5" s="1">
        <v>0.6</v>
      </c>
    </row>
    <row r="6">
      <c r="A6" s="9" t="s">
        <v>26</v>
      </c>
      <c r="B6" s="1">
        <v>0.55</v>
      </c>
      <c r="C6" s="1">
        <v>0.61</v>
      </c>
      <c r="D6" s="1">
        <v>0.58</v>
      </c>
      <c r="F6" s="1">
        <v>0.59</v>
      </c>
      <c r="G6" s="1">
        <v>0.66</v>
      </c>
      <c r="H6" s="1">
        <v>0.63</v>
      </c>
    </row>
    <row r="7">
      <c r="A7" s="9" t="s">
        <v>27</v>
      </c>
      <c r="B7" s="1">
        <v>0.59</v>
      </c>
      <c r="C7" s="1">
        <v>0.54</v>
      </c>
      <c r="D7" s="1">
        <v>0.56</v>
      </c>
      <c r="F7" s="1">
        <v>0.63</v>
      </c>
      <c r="G7" s="1">
        <v>0.61</v>
      </c>
      <c r="H7" s="1">
        <v>0.62</v>
      </c>
    </row>
    <row r="8">
      <c r="A8" s="9" t="s">
        <v>28</v>
      </c>
      <c r="B8" s="1">
        <v>0.65</v>
      </c>
      <c r="C8" s="1">
        <v>0.56</v>
      </c>
      <c r="D8" s="1">
        <v>0.6</v>
      </c>
      <c r="F8" s="1">
        <v>0.65</v>
      </c>
      <c r="G8" s="1">
        <v>0.59</v>
      </c>
      <c r="H8" s="1">
        <v>0.61</v>
      </c>
    </row>
    <row r="9">
      <c r="A9" s="9" t="s">
        <v>29</v>
      </c>
      <c r="B9" s="1">
        <v>0.6</v>
      </c>
      <c r="C9" s="1">
        <v>0.6</v>
      </c>
      <c r="D9" s="1">
        <v>0.6</v>
      </c>
      <c r="F9" s="1">
        <v>0.64</v>
      </c>
      <c r="G9" s="1">
        <v>0.63</v>
      </c>
      <c r="H9" s="1">
        <v>0.64</v>
      </c>
    </row>
    <row r="10">
      <c r="A10" s="9" t="s">
        <v>30</v>
      </c>
      <c r="B10" s="1">
        <v>0.67</v>
      </c>
      <c r="C10" s="1">
        <v>0.51</v>
      </c>
      <c r="D10" s="1">
        <v>0.58</v>
      </c>
      <c r="F10" s="1">
        <v>0.7</v>
      </c>
      <c r="G10" s="1">
        <v>0.56</v>
      </c>
      <c r="H10" s="1">
        <v>0.62</v>
      </c>
    </row>
    <row r="11">
      <c r="A11" s="9" t="s">
        <v>31</v>
      </c>
      <c r="B11" s="1">
        <v>0.68</v>
      </c>
      <c r="C11" s="1">
        <v>0.51</v>
      </c>
      <c r="D11" s="1">
        <v>0.58</v>
      </c>
      <c r="F11" s="1">
        <v>0.73</v>
      </c>
      <c r="G11" s="1">
        <v>0.56</v>
      </c>
      <c r="H11" s="1">
        <v>0.63</v>
      </c>
    </row>
    <row r="12">
      <c r="A12" s="9" t="s">
        <v>32</v>
      </c>
      <c r="B12" s="1">
        <v>0.58</v>
      </c>
      <c r="C12" s="1">
        <v>0.6</v>
      </c>
      <c r="D12" s="1">
        <v>0.59</v>
      </c>
      <c r="F12" s="1">
        <v>0.63</v>
      </c>
      <c r="G12" s="1">
        <v>0.64</v>
      </c>
      <c r="H12" s="1">
        <v>0.63</v>
      </c>
    </row>
    <row r="13">
      <c r="A13" s="9" t="s">
        <v>33</v>
      </c>
      <c r="B13" s="1">
        <v>0.55</v>
      </c>
      <c r="C13" s="1">
        <v>0.6</v>
      </c>
      <c r="D13" s="1">
        <v>0.58</v>
      </c>
      <c r="F13" s="1">
        <v>0.59</v>
      </c>
      <c r="G13" s="1">
        <v>0.65</v>
      </c>
      <c r="H13" s="1">
        <v>0.62</v>
      </c>
    </row>
    <row r="14">
      <c r="A14" s="9" t="s">
        <v>34</v>
      </c>
      <c r="B14" s="1">
        <v>0.6</v>
      </c>
      <c r="C14" s="1">
        <v>0.53</v>
      </c>
      <c r="D14" s="1">
        <v>0.57</v>
      </c>
      <c r="F14" s="1">
        <v>0.66</v>
      </c>
      <c r="G14" s="1">
        <v>0.58</v>
      </c>
      <c r="H14" s="1">
        <v>0.62</v>
      </c>
    </row>
    <row r="15">
      <c r="A15" s="9" t="s">
        <v>35</v>
      </c>
      <c r="B15" s="1">
        <v>0.53</v>
      </c>
      <c r="C15" s="1">
        <v>0.4</v>
      </c>
      <c r="D15" s="1">
        <v>0.45</v>
      </c>
      <c r="F15" s="1">
        <v>0.66</v>
      </c>
      <c r="G15" s="1">
        <v>0.56</v>
      </c>
      <c r="H15" s="1">
        <v>0.61</v>
      </c>
    </row>
    <row r="16">
      <c r="A16" s="9" t="s">
        <v>36</v>
      </c>
      <c r="B16" s="1">
        <v>0.51</v>
      </c>
      <c r="C16" s="1">
        <v>0.33</v>
      </c>
      <c r="D16" s="1">
        <v>0.4</v>
      </c>
      <c r="F16" s="1">
        <v>0.63</v>
      </c>
      <c r="G16" s="1">
        <v>0.5</v>
      </c>
      <c r="H16" s="1">
        <v>0.56</v>
      </c>
    </row>
    <row r="17">
      <c r="A17" s="9" t="s">
        <v>37</v>
      </c>
      <c r="B17" s="1">
        <v>0.53</v>
      </c>
      <c r="C17" s="1">
        <v>0.41</v>
      </c>
      <c r="D17" s="1">
        <v>0.46</v>
      </c>
      <c r="F17" s="1">
        <v>0.64</v>
      </c>
      <c r="G17" s="1">
        <v>0.57</v>
      </c>
      <c r="H17" s="1">
        <v>0.6</v>
      </c>
    </row>
    <row r="18">
      <c r="A18" s="9" t="s">
        <v>38</v>
      </c>
      <c r="B18" s="1">
        <v>0.51</v>
      </c>
      <c r="C18" s="1">
        <v>0.38</v>
      </c>
      <c r="D18" s="1">
        <v>0.44</v>
      </c>
      <c r="F18" s="1">
        <v>0.66</v>
      </c>
      <c r="G18" s="1">
        <v>0.58</v>
      </c>
      <c r="H18" s="1">
        <v>0.62</v>
      </c>
    </row>
    <row r="19">
      <c r="A19" s="9" t="s">
        <v>39</v>
      </c>
      <c r="B19" s="1">
        <v>0.49</v>
      </c>
      <c r="C19" s="1">
        <v>0.38</v>
      </c>
      <c r="D19" s="1">
        <v>0.43</v>
      </c>
      <c r="F19" s="1">
        <v>0.65</v>
      </c>
      <c r="G19" s="1">
        <v>0.6</v>
      </c>
      <c r="H19" s="1">
        <v>0.62</v>
      </c>
    </row>
    <row r="20">
      <c r="A20" s="9" t="s">
        <v>40</v>
      </c>
      <c r="B20" s="1">
        <v>0.54</v>
      </c>
      <c r="C20" s="1">
        <v>0.38</v>
      </c>
      <c r="D20" s="1">
        <v>0.44</v>
      </c>
      <c r="F20" s="1">
        <v>0.67</v>
      </c>
      <c r="G20" s="1">
        <v>0.57</v>
      </c>
      <c r="H20" s="1">
        <v>0.62</v>
      </c>
    </row>
    <row r="21">
      <c r="A21" s="9" t="s">
        <v>41</v>
      </c>
      <c r="B21" s="1">
        <v>0.52</v>
      </c>
      <c r="C21" s="1">
        <v>0.41</v>
      </c>
      <c r="D21" s="1">
        <v>0.46</v>
      </c>
      <c r="F21" s="1">
        <v>0.66</v>
      </c>
      <c r="G21" s="1">
        <v>0.57</v>
      </c>
      <c r="H21" s="1">
        <v>0.61</v>
      </c>
    </row>
    <row r="22">
      <c r="A22" s="9" t="s">
        <v>42</v>
      </c>
      <c r="B22" s="1">
        <v>0.58</v>
      </c>
      <c r="C22" s="1">
        <v>0.38</v>
      </c>
      <c r="D22" s="1">
        <v>0.46</v>
      </c>
      <c r="F22" s="1">
        <v>0.7</v>
      </c>
      <c r="G22" s="1">
        <v>0.55</v>
      </c>
      <c r="H22" s="1">
        <v>0.62</v>
      </c>
    </row>
    <row r="23">
      <c r="A23" s="9" t="s">
        <v>43</v>
      </c>
      <c r="B23" s="1">
        <v>0.55</v>
      </c>
      <c r="C23" s="1">
        <v>0.39</v>
      </c>
      <c r="D23" s="1">
        <v>0.45</v>
      </c>
      <c r="F23" s="1">
        <v>0.69</v>
      </c>
      <c r="G23" s="1">
        <v>0.57</v>
      </c>
      <c r="H23" s="1">
        <v>0.62</v>
      </c>
    </row>
    <row r="24">
      <c r="A24" s="9" t="s">
        <v>44</v>
      </c>
      <c r="B24" s="1">
        <v>0.54</v>
      </c>
      <c r="C24" s="1">
        <v>0.41</v>
      </c>
      <c r="D24" s="1">
        <v>0.46</v>
      </c>
      <c r="F24" s="1">
        <v>0.65</v>
      </c>
      <c r="G24" s="1">
        <v>0.57</v>
      </c>
      <c r="H24" s="1">
        <v>0.6</v>
      </c>
    </row>
    <row r="25">
      <c r="A25" s="9" t="s">
        <v>45</v>
      </c>
      <c r="B25" s="1">
        <v>0.54</v>
      </c>
      <c r="C25" s="1">
        <v>0.4</v>
      </c>
      <c r="D25" s="1">
        <v>0.46</v>
      </c>
      <c r="F25" s="1">
        <v>0.68</v>
      </c>
      <c r="G25" s="1">
        <v>0.57</v>
      </c>
      <c r="H25" s="1">
        <v>0.62</v>
      </c>
    </row>
    <row r="26">
      <c r="A26" s="9" t="s">
        <v>46</v>
      </c>
      <c r="B26" s="1">
        <v>0.5</v>
      </c>
      <c r="C26" s="1">
        <v>0.42</v>
      </c>
      <c r="D26" s="1">
        <v>0.45</v>
      </c>
      <c r="F26" s="1">
        <v>0.65</v>
      </c>
      <c r="G26" s="1">
        <v>0.6</v>
      </c>
      <c r="H26" s="1">
        <v>0.62</v>
      </c>
    </row>
    <row r="27">
      <c r="A27" s="9" t="s">
        <v>47</v>
      </c>
      <c r="B27" s="1">
        <v>0.51</v>
      </c>
      <c r="C27" s="1">
        <v>0.41</v>
      </c>
      <c r="D27" s="1">
        <v>0.45</v>
      </c>
      <c r="F27" s="1">
        <v>0.63</v>
      </c>
      <c r="G27" s="1">
        <v>0.58</v>
      </c>
      <c r="H27" s="1">
        <v>0.61</v>
      </c>
    </row>
    <row r="28">
      <c r="A28" s="9" t="s">
        <v>48</v>
      </c>
      <c r="B28" s="1">
        <v>0.52</v>
      </c>
      <c r="C28" s="1">
        <v>0.38</v>
      </c>
      <c r="D28" s="1">
        <v>0.44</v>
      </c>
      <c r="F28" s="1">
        <v>0.67</v>
      </c>
      <c r="G28" s="1">
        <v>0.58</v>
      </c>
      <c r="H28" s="1">
        <v>0.62</v>
      </c>
    </row>
    <row r="29">
      <c r="A29" s="9" t="s">
        <v>49</v>
      </c>
      <c r="B29" s="1">
        <v>0.52</v>
      </c>
      <c r="C29" s="1">
        <v>0.44</v>
      </c>
      <c r="D29" s="1">
        <v>0.48</v>
      </c>
      <c r="F29" s="1">
        <v>0.64</v>
      </c>
      <c r="G29" s="1">
        <v>0.61</v>
      </c>
      <c r="H29" s="1">
        <v>0.62</v>
      </c>
    </row>
    <row r="30">
      <c r="A30" s="5" t="s">
        <v>50</v>
      </c>
      <c r="B30" s="7">
        <f t="shared" ref="B30:D30" si="1">VAR(B5:B29)</f>
        <v>0.002640666667</v>
      </c>
      <c r="C30" s="7">
        <f t="shared" si="1"/>
        <v>0.008221</v>
      </c>
      <c r="D30" s="7">
        <f t="shared" si="1"/>
        <v>0.004630666667</v>
      </c>
      <c r="F30" s="7">
        <f t="shared" ref="F30:H30" si="2">VAR(F5:F29)</f>
        <v>0.001274333333</v>
      </c>
      <c r="G30" s="7">
        <f t="shared" si="2"/>
        <v>0.001229333333</v>
      </c>
      <c r="H30" s="7">
        <f t="shared" si="2"/>
        <v>0.0002256666667</v>
      </c>
    </row>
    <row r="31">
      <c r="A31" s="5" t="s">
        <v>51</v>
      </c>
      <c r="B31" s="7">
        <f t="shared" ref="B31:D31" si="3">STDEV(B5:B29)</f>
        <v>0.0513874174</v>
      </c>
      <c r="C31" s="7">
        <f t="shared" si="3"/>
        <v>0.09066973034</v>
      </c>
      <c r="D31" s="7">
        <f t="shared" si="3"/>
        <v>0.06804900195</v>
      </c>
      <c r="F31" s="7">
        <f t="shared" ref="F31:H31" si="4">STDEV(F5:F29)</f>
        <v>0.03569780572</v>
      </c>
      <c r="G31" s="7">
        <f t="shared" si="4"/>
        <v>0.03506185011</v>
      </c>
      <c r="H31" s="7">
        <f t="shared" si="4"/>
        <v>0.01502220579</v>
      </c>
    </row>
    <row r="32">
      <c r="A32" s="5" t="s">
        <v>52</v>
      </c>
      <c r="B32" s="7">
        <f t="shared" ref="B32:D32" si="5">AVERAGE(B5:B29)</f>
        <v>0.5564</v>
      </c>
      <c r="C32" s="7">
        <f t="shared" si="5"/>
        <v>0.4628</v>
      </c>
      <c r="D32" s="7">
        <f t="shared" si="5"/>
        <v>0.5016</v>
      </c>
      <c r="F32" s="7">
        <f t="shared" ref="F32:H32" si="6">AVERAGE(F5:F29)</f>
        <v>0.6508</v>
      </c>
      <c r="G32" s="7">
        <f t="shared" si="6"/>
        <v>0.5872</v>
      </c>
      <c r="H32" s="7">
        <f t="shared" si="6"/>
        <v>0.6156</v>
      </c>
    </row>
  </sheetData>
  <mergeCells count="2">
    <mergeCell ref="B4:D4"/>
    <mergeCell ref="F4:H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0.58</v>
      </c>
      <c r="C5" s="1">
        <v>0.51</v>
      </c>
      <c r="D5" s="1">
        <v>0.54</v>
      </c>
      <c r="F5" s="1">
        <v>0.65</v>
      </c>
      <c r="G5" s="1">
        <v>0.55</v>
      </c>
      <c r="H5" s="1">
        <v>0.6</v>
      </c>
    </row>
    <row r="6">
      <c r="A6" s="9" t="s">
        <v>26</v>
      </c>
      <c r="B6" s="1">
        <v>0.55</v>
      </c>
      <c r="C6" s="1">
        <v>0.53</v>
      </c>
      <c r="D6" s="1">
        <v>0.54</v>
      </c>
      <c r="F6" s="1">
        <v>0.6</v>
      </c>
      <c r="G6" s="1">
        <v>0.6</v>
      </c>
      <c r="H6" s="1">
        <v>0.6</v>
      </c>
    </row>
    <row r="7">
      <c r="A7" s="9" t="s">
        <v>27</v>
      </c>
      <c r="B7" s="1">
        <v>0.57</v>
      </c>
      <c r="C7" s="1">
        <v>0.53</v>
      </c>
      <c r="D7" s="1">
        <v>0.55</v>
      </c>
      <c r="F7" s="1">
        <v>0.59</v>
      </c>
      <c r="G7" s="1">
        <v>0.58</v>
      </c>
      <c r="H7" s="1">
        <v>0.59</v>
      </c>
    </row>
    <row r="8">
      <c r="A8" s="9" t="s">
        <v>28</v>
      </c>
      <c r="B8" s="1">
        <v>0.65</v>
      </c>
      <c r="C8" s="1">
        <v>0.49</v>
      </c>
      <c r="D8" s="1">
        <v>0.56</v>
      </c>
      <c r="F8" s="1">
        <v>0.66</v>
      </c>
      <c r="G8" s="1">
        <v>0.53</v>
      </c>
      <c r="H8" s="1">
        <v>0.59</v>
      </c>
    </row>
    <row r="9">
      <c r="A9" s="9" t="s">
        <v>29</v>
      </c>
      <c r="B9" s="1">
        <v>0.58</v>
      </c>
      <c r="C9" s="1">
        <v>0.47</v>
      </c>
      <c r="D9" s="1">
        <v>0.52</v>
      </c>
      <c r="F9" s="1">
        <v>0.63</v>
      </c>
      <c r="G9" s="1">
        <v>0.54</v>
      </c>
      <c r="H9" s="1">
        <v>0.58</v>
      </c>
    </row>
    <row r="10">
      <c r="A10" s="9" t="s">
        <v>30</v>
      </c>
      <c r="B10" s="1">
        <v>0.57</v>
      </c>
      <c r="C10" s="1">
        <v>0.49</v>
      </c>
      <c r="D10" s="1">
        <v>0.53</v>
      </c>
      <c r="F10" s="1">
        <v>0.64</v>
      </c>
      <c r="G10" s="1">
        <v>0.56</v>
      </c>
      <c r="H10" s="1">
        <v>0.6</v>
      </c>
    </row>
    <row r="11">
      <c r="A11" s="9" t="s">
        <v>31</v>
      </c>
      <c r="B11" s="1">
        <v>0.57</v>
      </c>
      <c r="C11" s="1">
        <v>0.54</v>
      </c>
      <c r="D11" s="1">
        <v>0.56</v>
      </c>
      <c r="F11" s="1">
        <v>0.59</v>
      </c>
      <c r="G11" s="1">
        <v>0.59</v>
      </c>
      <c r="H11" s="1">
        <v>0.59</v>
      </c>
    </row>
    <row r="12">
      <c r="A12" s="9" t="s">
        <v>32</v>
      </c>
      <c r="B12" s="1">
        <v>0.53</v>
      </c>
      <c r="C12" s="1">
        <v>0.61</v>
      </c>
      <c r="D12" s="1">
        <v>0.57</v>
      </c>
      <c r="F12" s="1">
        <v>0.58</v>
      </c>
      <c r="G12" s="1">
        <v>0.62</v>
      </c>
      <c r="H12" s="1">
        <v>0.6</v>
      </c>
    </row>
    <row r="13">
      <c r="A13" s="9" t="s">
        <v>33</v>
      </c>
      <c r="B13" s="1">
        <v>0.57</v>
      </c>
      <c r="C13" s="1">
        <v>0.52</v>
      </c>
      <c r="D13" s="1">
        <v>0.54</v>
      </c>
      <c r="F13" s="1">
        <v>0.64</v>
      </c>
      <c r="G13" s="1">
        <v>0.58</v>
      </c>
      <c r="H13" s="1">
        <v>0.61</v>
      </c>
    </row>
    <row r="14">
      <c r="A14" s="9" t="s">
        <v>34</v>
      </c>
      <c r="B14" s="1">
        <v>0.59</v>
      </c>
      <c r="C14" s="1">
        <v>0.52</v>
      </c>
      <c r="D14" s="1">
        <v>0.55</v>
      </c>
      <c r="F14" s="1">
        <v>0.63</v>
      </c>
      <c r="G14" s="1">
        <v>0.56</v>
      </c>
      <c r="H14" s="1">
        <v>0.59</v>
      </c>
    </row>
    <row r="15">
      <c r="A15" s="9" t="s">
        <v>35</v>
      </c>
      <c r="B15" s="1">
        <v>0.46</v>
      </c>
      <c r="C15" s="1">
        <v>0.38</v>
      </c>
      <c r="D15" s="1">
        <v>0.42</v>
      </c>
      <c r="F15" s="1">
        <v>0.6</v>
      </c>
      <c r="G15" s="1">
        <v>0.56</v>
      </c>
      <c r="H15" s="1">
        <v>0.58</v>
      </c>
    </row>
    <row r="16">
      <c r="A16" s="9" t="s">
        <v>36</v>
      </c>
      <c r="B16" s="1">
        <v>0.48</v>
      </c>
      <c r="C16" s="1">
        <v>0.39</v>
      </c>
      <c r="D16" s="1">
        <v>0.43</v>
      </c>
      <c r="F16" s="1">
        <v>0.61</v>
      </c>
      <c r="G16" s="1">
        <v>0.55</v>
      </c>
      <c r="H16" s="1">
        <v>0.58</v>
      </c>
    </row>
    <row r="17">
      <c r="A17" s="9" t="s">
        <v>37</v>
      </c>
      <c r="B17" s="1">
        <v>0.54</v>
      </c>
      <c r="C17" s="1">
        <v>0.37</v>
      </c>
      <c r="D17" s="1">
        <v>0.44</v>
      </c>
      <c r="F17" s="1">
        <v>0.65</v>
      </c>
      <c r="G17" s="1">
        <v>0.53</v>
      </c>
      <c r="H17" s="1">
        <v>0.58</v>
      </c>
    </row>
    <row r="18">
      <c r="A18" s="9" t="s">
        <v>38</v>
      </c>
      <c r="B18" s="1">
        <v>0.52</v>
      </c>
      <c r="C18" s="1">
        <v>0.35</v>
      </c>
      <c r="D18" s="1">
        <v>0.42</v>
      </c>
      <c r="F18" s="1">
        <v>0.65</v>
      </c>
      <c r="G18" s="1">
        <v>0.51</v>
      </c>
      <c r="H18" s="1">
        <v>0.57</v>
      </c>
    </row>
    <row r="19">
      <c r="A19" s="9" t="s">
        <v>39</v>
      </c>
      <c r="B19" s="1">
        <v>0.53</v>
      </c>
      <c r="C19" s="1">
        <v>0.38</v>
      </c>
      <c r="D19" s="1">
        <v>0.44</v>
      </c>
      <c r="F19" s="1">
        <v>0.63</v>
      </c>
      <c r="G19" s="1">
        <v>0.55</v>
      </c>
      <c r="H19" s="1">
        <v>0.59</v>
      </c>
    </row>
    <row r="20">
      <c r="A20" s="9" t="s">
        <v>40</v>
      </c>
      <c r="B20" s="1">
        <v>0.52</v>
      </c>
      <c r="C20" s="1">
        <v>0.4</v>
      </c>
      <c r="D20" s="1">
        <v>0.45</v>
      </c>
      <c r="F20" s="1">
        <v>0.63</v>
      </c>
      <c r="G20" s="1">
        <v>0.54</v>
      </c>
      <c r="H20" s="1">
        <v>0.59</v>
      </c>
    </row>
    <row r="21">
      <c r="A21" s="9" t="s">
        <v>41</v>
      </c>
      <c r="B21" s="1">
        <v>0.53</v>
      </c>
      <c r="C21" s="1">
        <v>0.35</v>
      </c>
      <c r="D21" s="1">
        <v>0.42</v>
      </c>
      <c r="F21" s="1">
        <v>0.66</v>
      </c>
      <c r="G21" s="1">
        <v>0.51</v>
      </c>
      <c r="H21" s="1">
        <v>0.57</v>
      </c>
    </row>
    <row r="22">
      <c r="A22" s="9" t="s">
        <v>42</v>
      </c>
      <c r="B22" s="1">
        <v>0.49</v>
      </c>
      <c r="C22" s="1">
        <v>0.35</v>
      </c>
      <c r="D22" s="1">
        <v>0.41</v>
      </c>
      <c r="F22" s="1">
        <v>0.63</v>
      </c>
      <c r="G22" s="1">
        <v>0.53</v>
      </c>
      <c r="H22" s="1">
        <v>0.58</v>
      </c>
    </row>
    <row r="23">
      <c r="A23" s="9" t="s">
        <v>43</v>
      </c>
      <c r="B23" s="1">
        <v>0.54</v>
      </c>
      <c r="C23" s="1">
        <v>0.34</v>
      </c>
      <c r="D23" s="1">
        <v>0.42</v>
      </c>
      <c r="F23" s="1">
        <v>0.66</v>
      </c>
      <c r="G23" s="1">
        <v>0.52</v>
      </c>
      <c r="H23" s="1">
        <v>0.58</v>
      </c>
    </row>
    <row r="24">
      <c r="A24" s="9" t="s">
        <v>44</v>
      </c>
      <c r="B24" s="1">
        <v>0.5</v>
      </c>
      <c r="C24" s="1">
        <v>0.37</v>
      </c>
      <c r="D24" s="1">
        <v>0.43</v>
      </c>
      <c r="F24" s="1">
        <v>0.65</v>
      </c>
      <c r="G24" s="1">
        <v>0.55</v>
      </c>
      <c r="H24" s="1">
        <v>0.6</v>
      </c>
    </row>
    <row r="25">
      <c r="A25" s="9" t="s">
        <v>45</v>
      </c>
      <c r="B25" s="1">
        <v>0.49</v>
      </c>
      <c r="C25" s="1">
        <v>0.42</v>
      </c>
      <c r="D25" s="1">
        <v>0.45</v>
      </c>
      <c r="F25" s="1">
        <v>0.58</v>
      </c>
      <c r="G25" s="1">
        <v>0.52</v>
      </c>
      <c r="H25" s="1">
        <v>0.55</v>
      </c>
    </row>
    <row r="26">
      <c r="A26" s="9" t="s">
        <v>46</v>
      </c>
      <c r="B26" s="1">
        <v>0.53</v>
      </c>
      <c r="C26" s="1">
        <v>0.32</v>
      </c>
      <c r="D26" s="1">
        <v>0.4</v>
      </c>
      <c r="F26" s="1">
        <v>0.7</v>
      </c>
      <c r="G26" s="1">
        <v>0.5</v>
      </c>
      <c r="H26" s="1">
        <v>0.58</v>
      </c>
    </row>
    <row r="27">
      <c r="A27" s="9" t="s">
        <v>47</v>
      </c>
      <c r="B27" s="1">
        <v>0.5</v>
      </c>
      <c r="C27" s="1">
        <v>0.36</v>
      </c>
      <c r="D27" s="1">
        <v>0.42</v>
      </c>
      <c r="F27" s="1">
        <v>0.62</v>
      </c>
      <c r="G27" s="1">
        <v>0.53</v>
      </c>
      <c r="H27" s="1">
        <v>0.57</v>
      </c>
    </row>
    <row r="28">
      <c r="A28" s="9" t="s">
        <v>48</v>
      </c>
    </row>
    <row r="29">
      <c r="A29" s="9" t="s">
        <v>49</v>
      </c>
    </row>
    <row r="30">
      <c r="A30" s="5" t="s">
        <v>50</v>
      </c>
      <c r="B30" s="7">
        <f t="shared" ref="B30:D30" si="1">VAR(B5:B27)</f>
        <v>0.001857312253</v>
      </c>
      <c r="C30" s="7">
        <f t="shared" si="1"/>
        <v>0.0070256917</v>
      </c>
      <c r="D30" s="7">
        <f t="shared" si="1"/>
        <v>0.003857312253</v>
      </c>
      <c r="F30" s="7">
        <f t="shared" ref="F30:H30" si="2">VAR(F5:F27)</f>
        <v>0.0009043478261</v>
      </c>
      <c r="G30" s="7">
        <f t="shared" si="2"/>
        <v>0.0009241106719</v>
      </c>
      <c r="H30" s="7">
        <f t="shared" si="2"/>
        <v>0.0001802371542</v>
      </c>
    </row>
    <row r="31">
      <c r="A31" s="5" t="s">
        <v>51</v>
      </c>
      <c r="B31" s="7">
        <f t="shared" ref="B31:D31" si="3">STDEV(B5:B27)</f>
        <v>0.04309654572</v>
      </c>
      <c r="C31" s="7">
        <f t="shared" si="3"/>
        <v>0.0838193993</v>
      </c>
      <c r="D31" s="7">
        <f t="shared" si="3"/>
        <v>0.06210726409</v>
      </c>
      <c r="F31" s="7">
        <f t="shared" ref="F31:H31" si="4">STDEV(F5:F27)</f>
        <v>0.03007237646</v>
      </c>
      <c r="G31" s="7">
        <f t="shared" si="4"/>
        <v>0.03039918867</v>
      </c>
      <c r="H31" s="7">
        <f t="shared" si="4"/>
        <v>0.01342524317</v>
      </c>
    </row>
    <row r="32">
      <c r="A32" s="5" t="s">
        <v>52</v>
      </c>
      <c r="B32" s="7">
        <f t="shared" ref="B32:D32" si="5">AVERAGE(B5:B27)</f>
        <v>0.5386956522</v>
      </c>
      <c r="C32" s="7">
        <f t="shared" si="5"/>
        <v>0.4343478261</v>
      </c>
      <c r="D32" s="7">
        <f t="shared" si="5"/>
        <v>0.4786956522</v>
      </c>
      <c r="F32" s="7">
        <f t="shared" ref="F32:H32" si="6">AVERAGE(F5:F27)</f>
        <v>0.6295652174</v>
      </c>
      <c r="G32" s="7">
        <f t="shared" si="6"/>
        <v>0.5482608696</v>
      </c>
      <c r="H32" s="7">
        <f t="shared" si="6"/>
        <v>0.5856521739</v>
      </c>
    </row>
  </sheetData>
  <mergeCells count="2">
    <mergeCell ref="B4:D4"/>
    <mergeCell ref="F4:H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0.52</v>
      </c>
      <c r="C5" s="1">
        <v>0.47</v>
      </c>
      <c r="D5" s="1">
        <v>0.5</v>
      </c>
      <c r="F5" s="1">
        <v>0.56</v>
      </c>
      <c r="G5" s="1">
        <v>0.55</v>
      </c>
      <c r="H5" s="1">
        <v>0.55</v>
      </c>
    </row>
    <row r="6">
      <c r="A6" s="9" t="s">
        <v>26</v>
      </c>
      <c r="B6" s="1">
        <v>0.53</v>
      </c>
      <c r="C6" s="1">
        <v>0.5</v>
      </c>
      <c r="D6" s="1">
        <v>0.52</v>
      </c>
      <c r="F6" s="1">
        <v>0.58</v>
      </c>
      <c r="G6" s="1">
        <v>0.54</v>
      </c>
      <c r="H6" s="1">
        <v>0.56</v>
      </c>
    </row>
    <row r="7">
      <c r="A7" s="9" t="s">
        <v>27</v>
      </c>
      <c r="B7" s="1">
        <v>0.55</v>
      </c>
      <c r="C7" s="1">
        <v>0.48</v>
      </c>
      <c r="D7" s="1">
        <v>0.51</v>
      </c>
      <c r="F7" s="1">
        <v>0.61</v>
      </c>
      <c r="G7" s="1">
        <v>0.54</v>
      </c>
      <c r="H7" s="1">
        <v>0.57</v>
      </c>
    </row>
    <row r="8">
      <c r="A8" s="9" t="s">
        <v>28</v>
      </c>
      <c r="B8" s="1">
        <v>0.52</v>
      </c>
      <c r="C8" s="1">
        <v>0.46</v>
      </c>
      <c r="D8" s="1">
        <v>0.48</v>
      </c>
      <c r="F8" s="1">
        <v>0.57</v>
      </c>
      <c r="G8" s="1">
        <v>0.53</v>
      </c>
      <c r="H8" s="1">
        <v>0.55</v>
      </c>
    </row>
    <row r="9">
      <c r="A9" s="9" t="s">
        <v>29</v>
      </c>
      <c r="B9" s="1">
        <v>0.55</v>
      </c>
      <c r="C9" s="1">
        <v>0.5</v>
      </c>
      <c r="D9" s="1">
        <v>0.52</v>
      </c>
      <c r="F9" s="1">
        <v>0.56</v>
      </c>
      <c r="G9" s="1">
        <v>0.54</v>
      </c>
      <c r="H9" s="1">
        <v>0.55</v>
      </c>
    </row>
    <row r="10">
      <c r="A10" s="9" t="s">
        <v>30</v>
      </c>
      <c r="B10" s="1">
        <v>0.53</v>
      </c>
      <c r="C10" s="1">
        <v>0.49</v>
      </c>
      <c r="D10" s="1">
        <v>0.51</v>
      </c>
      <c r="F10" s="1">
        <v>0.58</v>
      </c>
      <c r="G10" s="1">
        <v>0.53</v>
      </c>
      <c r="H10" s="1">
        <v>0.55</v>
      </c>
    </row>
    <row r="11">
      <c r="A11" s="9" t="s">
        <v>31</v>
      </c>
      <c r="B11" s="1">
        <v>0.55</v>
      </c>
      <c r="C11" s="1">
        <v>0.48</v>
      </c>
      <c r="D11" s="1">
        <v>0.51</v>
      </c>
      <c r="F11" s="1">
        <v>0.56</v>
      </c>
      <c r="G11" s="1">
        <v>0.54</v>
      </c>
      <c r="H11" s="1">
        <v>0.55</v>
      </c>
    </row>
    <row r="12">
      <c r="A12" s="9" t="s">
        <v>32</v>
      </c>
      <c r="B12" s="1">
        <v>0.51</v>
      </c>
      <c r="C12" s="1">
        <v>0.54</v>
      </c>
      <c r="D12" s="1">
        <v>0.52</v>
      </c>
      <c r="F12" s="1">
        <v>0.53</v>
      </c>
      <c r="G12" s="1">
        <v>0.58</v>
      </c>
      <c r="H12" s="1">
        <v>0.56</v>
      </c>
    </row>
    <row r="13">
      <c r="A13" s="9" t="s">
        <v>33</v>
      </c>
      <c r="B13" s="1">
        <v>0.53</v>
      </c>
      <c r="C13" s="1">
        <v>0.51</v>
      </c>
      <c r="D13" s="1">
        <v>0.52</v>
      </c>
      <c r="F13" s="1">
        <v>0.58</v>
      </c>
      <c r="G13" s="1">
        <v>0.55</v>
      </c>
      <c r="H13" s="1">
        <v>0.56</v>
      </c>
    </row>
    <row r="14">
      <c r="A14" s="9" t="s">
        <v>34</v>
      </c>
      <c r="B14" s="1">
        <v>0.49</v>
      </c>
      <c r="C14" s="1">
        <v>0.53</v>
      </c>
      <c r="D14" s="1">
        <v>0.51</v>
      </c>
      <c r="F14" s="1">
        <v>0.52</v>
      </c>
      <c r="G14" s="1">
        <v>0.57</v>
      </c>
      <c r="H14" s="1">
        <v>0.54</v>
      </c>
    </row>
    <row r="15">
      <c r="A15" s="9" t="s">
        <v>35</v>
      </c>
      <c r="B15" s="1">
        <v>0.47</v>
      </c>
      <c r="C15" s="1">
        <v>0.34</v>
      </c>
      <c r="D15" s="1">
        <v>0.4</v>
      </c>
      <c r="F15" s="1">
        <v>0.58</v>
      </c>
      <c r="G15" s="1">
        <v>0.48</v>
      </c>
      <c r="H15" s="1">
        <v>0.53</v>
      </c>
    </row>
    <row r="16">
      <c r="A16" s="9" t="s">
        <v>36</v>
      </c>
      <c r="B16" s="1">
        <v>0.46</v>
      </c>
      <c r="C16" s="1">
        <v>0.4</v>
      </c>
      <c r="D16" s="1">
        <v>0.43</v>
      </c>
      <c r="F16" s="1">
        <v>0.55</v>
      </c>
      <c r="G16" s="1">
        <v>0.55</v>
      </c>
      <c r="H16" s="1">
        <v>0.55</v>
      </c>
    </row>
    <row r="17">
      <c r="A17" s="9" t="s">
        <v>37</v>
      </c>
      <c r="B17" s="1">
        <v>0.5</v>
      </c>
      <c r="C17" s="1">
        <v>0.3</v>
      </c>
      <c r="D17" s="1">
        <v>0.37</v>
      </c>
      <c r="F17" s="1">
        <v>0.66</v>
      </c>
      <c r="G17" s="1">
        <v>0.47</v>
      </c>
      <c r="H17" s="1">
        <v>0.55</v>
      </c>
    </row>
    <row r="18">
      <c r="A18" s="9" t="s">
        <v>38</v>
      </c>
      <c r="B18" s="1">
        <v>0.5</v>
      </c>
      <c r="C18" s="1">
        <v>0.31</v>
      </c>
      <c r="D18" s="1">
        <v>0.38</v>
      </c>
      <c r="F18" s="1">
        <v>0.64</v>
      </c>
      <c r="G18" s="1">
        <v>0.47</v>
      </c>
      <c r="H18" s="1">
        <v>0.54</v>
      </c>
    </row>
    <row r="19">
      <c r="A19" s="9" t="s">
        <v>39</v>
      </c>
      <c r="B19" s="1">
        <v>0.48</v>
      </c>
      <c r="C19" s="1">
        <v>0.35</v>
      </c>
      <c r="D19" s="1">
        <v>0.4</v>
      </c>
      <c r="F19" s="1">
        <v>0.57</v>
      </c>
      <c r="G19" s="1">
        <v>0.44</v>
      </c>
      <c r="H19" s="1">
        <v>0.5</v>
      </c>
    </row>
    <row r="20">
      <c r="A20" s="9" t="s">
        <v>40</v>
      </c>
      <c r="B20" s="1">
        <v>0.46</v>
      </c>
      <c r="C20" s="1">
        <v>0.37</v>
      </c>
      <c r="D20" s="1">
        <v>0.41</v>
      </c>
      <c r="F20" s="1">
        <v>0.56</v>
      </c>
      <c r="G20" s="1">
        <v>0.51</v>
      </c>
      <c r="H20" s="1">
        <v>0.54</v>
      </c>
    </row>
    <row r="21">
      <c r="A21" s="9" t="s">
        <v>41</v>
      </c>
      <c r="B21" s="1">
        <v>0.48</v>
      </c>
      <c r="C21" s="1">
        <v>0.33</v>
      </c>
      <c r="D21" s="1">
        <v>0.39</v>
      </c>
      <c r="F21" s="1">
        <v>0.6</v>
      </c>
      <c r="G21" s="1">
        <v>0.49</v>
      </c>
      <c r="H21" s="1">
        <v>0.54</v>
      </c>
    </row>
    <row r="22">
      <c r="A22" s="9" t="s">
        <v>42</v>
      </c>
      <c r="B22" s="1">
        <v>0.48</v>
      </c>
      <c r="C22" s="1">
        <v>0.37</v>
      </c>
      <c r="D22" s="1">
        <v>0.42</v>
      </c>
      <c r="F22" s="1">
        <v>0.6</v>
      </c>
      <c r="G22" s="1">
        <v>0.55</v>
      </c>
      <c r="H22" s="1">
        <v>0.58</v>
      </c>
    </row>
    <row r="23">
      <c r="A23" s="9" t="s">
        <v>43</v>
      </c>
      <c r="B23" s="1">
        <v>0.48</v>
      </c>
      <c r="C23" s="1">
        <v>0.31</v>
      </c>
      <c r="D23" s="1">
        <v>0.38</v>
      </c>
      <c r="F23" s="1">
        <v>0.59</v>
      </c>
      <c r="G23" s="1">
        <v>0.46</v>
      </c>
      <c r="H23" s="1">
        <v>0.52</v>
      </c>
    </row>
    <row r="24">
      <c r="A24" s="9" t="s">
        <v>44</v>
      </c>
      <c r="B24" s="1">
        <v>0.5</v>
      </c>
      <c r="C24" s="1">
        <v>0.37</v>
      </c>
      <c r="D24" s="1">
        <v>0.43</v>
      </c>
      <c r="F24" s="1">
        <v>0.61</v>
      </c>
      <c r="G24" s="1">
        <v>0.53</v>
      </c>
      <c r="H24" s="1">
        <v>0.56</v>
      </c>
    </row>
    <row r="25">
      <c r="A25" s="9" t="s">
        <v>45</v>
      </c>
      <c r="B25" s="1">
        <v>0.48</v>
      </c>
      <c r="C25" s="1">
        <v>0.36</v>
      </c>
      <c r="D25" s="1">
        <v>0.41</v>
      </c>
      <c r="F25" s="1">
        <v>0.59</v>
      </c>
      <c r="G25" s="1">
        <v>0.52</v>
      </c>
      <c r="H25" s="1">
        <v>0.55</v>
      </c>
    </row>
    <row r="26">
      <c r="A26" s="9" t="s">
        <v>46</v>
      </c>
      <c r="B26" s="1">
        <v>0.52</v>
      </c>
      <c r="C26" s="1">
        <v>0.29</v>
      </c>
      <c r="D26" s="1">
        <v>0.37</v>
      </c>
      <c r="F26" s="1">
        <v>0.67</v>
      </c>
      <c r="G26" s="1">
        <v>0.45</v>
      </c>
      <c r="H26" s="1">
        <v>0.54</v>
      </c>
    </row>
    <row r="27">
      <c r="A27" s="9" t="s">
        <v>47</v>
      </c>
      <c r="B27" s="1">
        <v>0.47</v>
      </c>
      <c r="C27" s="1">
        <v>0.37</v>
      </c>
      <c r="D27" s="1">
        <v>0.41</v>
      </c>
      <c r="F27" s="1">
        <v>0.55</v>
      </c>
      <c r="G27" s="1">
        <v>0.53</v>
      </c>
      <c r="H27" s="1">
        <v>0.54</v>
      </c>
    </row>
    <row r="28">
      <c r="A28" s="9" t="s">
        <v>48</v>
      </c>
      <c r="B28" s="1">
        <v>0.45</v>
      </c>
      <c r="C28" s="1">
        <v>0.36</v>
      </c>
      <c r="D28" s="1">
        <v>0.4</v>
      </c>
      <c r="F28" s="1">
        <v>0.54</v>
      </c>
      <c r="G28" s="1">
        <v>0.5</v>
      </c>
      <c r="H28" s="1">
        <v>0.52</v>
      </c>
    </row>
    <row r="29">
      <c r="A29" s="9" t="s">
        <v>49</v>
      </c>
      <c r="B29" s="1">
        <v>0.46</v>
      </c>
      <c r="C29" s="1">
        <v>0.32</v>
      </c>
      <c r="D29" s="1">
        <v>0.38</v>
      </c>
      <c r="F29" s="1">
        <v>0.6</v>
      </c>
      <c r="G29" s="1">
        <v>0.51</v>
      </c>
      <c r="H29" s="1">
        <v>0.55</v>
      </c>
    </row>
    <row r="30">
      <c r="A30" s="5" t="s">
        <v>50</v>
      </c>
      <c r="B30" s="7">
        <f t="shared" ref="B30:D30" si="1">VAR(B5:B29)</f>
        <v>0.0009443333333</v>
      </c>
      <c r="C30" s="7">
        <f t="shared" si="1"/>
        <v>0.006667333333</v>
      </c>
      <c r="D30" s="7">
        <f t="shared" si="1"/>
        <v>0.003389333333</v>
      </c>
      <c r="F30" s="7">
        <f t="shared" ref="F30:H30" si="2">VAR(F5:F29)</f>
        <v>0.001352333333</v>
      </c>
      <c r="G30" s="7">
        <f t="shared" si="2"/>
        <v>0.001437666667</v>
      </c>
      <c r="H30" s="7">
        <f t="shared" si="2"/>
        <v>0.000275</v>
      </c>
    </row>
    <row r="31">
      <c r="A31" s="5" t="s">
        <v>51</v>
      </c>
      <c r="B31" s="7">
        <f t="shared" ref="B31:D31" si="3">STDEV(B5:B29)</f>
        <v>0.03073000705</v>
      </c>
      <c r="C31" s="7">
        <f t="shared" si="3"/>
        <v>0.08165374047</v>
      </c>
      <c r="D31" s="7">
        <f t="shared" si="3"/>
        <v>0.05821798119</v>
      </c>
      <c r="F31" s="7">
        <f t="shared" ref="F31:H31" si="4">STDEV(F5:F29)</f>
        <v>0.03677408508</v>
      </c>
      <c r="G31" s="7">
        <f t="shared" si="4"/>
        <v>0.03791657509</v>
      </c>
      <c r="H31" s="7">
        <f t="shared" si="4"/>
        <v>0.01658312395</v>
      </c>
    </row>
    <row r="32">
      <c r="A32" s="5" t="s">
        <v>52</v>
      </c>
      <c r="B32" s="7">
        <f t="shared" ref="B32:D32" si="5">AVERAGE(B5:B29)</f>
        <v>0.4988</v>
      </c>
      <c r="C32" s="7">
        <f t="shared" si="5"/>
        <v>0.4044</v>
      </c>
      <c r="D32" s="7">
        <f t="shared" si="5"/>
        <v>0.4432</v>
      </c>
      <c r="F32" s="7">
        <f t="shared" ref="F32:H32" si="6">AVERAGE(F5:F29)</f>
        <v>0.5824</v>
      </c>
      <c r="G32" s="7">
        <f t="shared" si="6"/>
        <v>0.5172</v>
      </c>
      <c r="H32" s="7">
        <f t="shared" si="6"/>
        <v>0.546</v>
      </c>
    </row>
  </sheetData>
  <mergeCells count="2">
    <mergeCell ref="B4:D4"/>
    <mergeCell ref="F4:H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0.64</v>
      </c>
      <c r="C5" s="1">
        <v>0.49</v>
      </c>
      <c r="D5" s="1">
        <v>0.55</v>
      </c>
      <c r="F5" s="1">
        <v>0.73</v>
      </c>
      <c r="G5" s="1">
        <v>0.56</v>
      </c>
      <c r="H5" s="1">
        <v>0.64</v>
      </c>
    </row>
    <row r="6">
      <c r="A6" s="9" t="s">
        <v>26</v>
      </c>
      <c r="B6" s="1">
        <v>0.68</v>
      </c>
      <c r="C6" s="1">
        <v>0.5</v>
      </c>
      <c r="D6" s="1">
        <v>0.57</v>
      </c>
      <c r="F6" s="1">
        <v>0.72</v>
      </c>
      <c r="G6" s="1">
        <v>0.55</v>
      </c>
      <c r="H6" s="1">
        <v>0.63</v>
      </c>
    </row>
    <row r="7">
      <c r="A7" s="9" t="s">
        <v>27</v>
      </c>
      <c r="B7" s="1">
        <v>0.65</v>
      </c>
      <c r="C7" s="1">
        <v>0.54</v>
      </c>
      <c r="D7" s="1">
        <v>0.59</v>
      </c>
      <c r="F7" s="1">
        <v>0.66</v>
      </c>
      <c r="G7" s="1">
        <v>0.58</v>
      </c>
      <c r="H7" s="1">
        <v>0.62</v>
      </c>
    </row>
    <row r="8">
      <c r="A8" s="9" t="s">
        <v>28</v>
      </c>
      <c r="B8" s="1">
        <v>0.66</v>
      </c>
      <c r="C8" s="1">
        <v>0.52</v>
      </c>
      <c r="D8" s="1">
        <v>0.58</v>
      </c>
      <c r="F8" s="1">
        <v>0.69</v>
      </c>
      <c r="G8" s="1">
        <v>0.57</v>
      </c>
      <c r="H8" s="1">
        <v>0.62</v>
      </c>
    </row>
    <row r="9">
      <c r="A9" s="9" t="s">
        <v>29</v>
      </c>
      <c r="B9" s="1">
        <v>0.62</v>
      </c>
      <c r="C9" s="1">
        <v>0.57</v>
      </c>
      <c r="D9" s="1">
        <v>0.59</v>
      </c>
      <c r="F9" s="1">
        <v>0.66</v>
      </c>
      <c r="G9" s="1">
        <v>0.58</v>
      </c>
      <c r="H9" s="1">
        <v>0.62</v>
      </c>
    </row>
    <row r="10">
      <c r="A10" s="9" t="s">
        <v>30</v>
      </c>
      <c r="B10" s="1">
        <v>0.67</v>
      </c>
      <c r="C10" s="1">
        <v>0.5</v>
      </c>
      <c r="D10" s="1">
        <v>0.57</v>
      </c>
      <c r="F10" s="1">
        <v>0.68</v>
      </c>
      <c r="G10" s="1">
        <v>0.57</v>
      </c>
      <c r="H10" s="1">
        <v>0.62</v>
      </c>
    </row>
    <row r="11">
      <c r="A11" s="9" t="s">
        <v>31</v>
      </c>
      <c r="B11" s="1">
        <v>0.67</v>
      </c>
      <c r="C11" s="1">
        <v>0.51</v>
      </c>
      <c r="D11" s="1">
        <v>0.58</v>
      </c>
      <c r="F11" s="1">
        <v>0.69</v>
      </c>
      <c r="G11" s="1">
        <v>0.55</v>
      </c>
      <c r="H11" s="1">
        <v>0.62</v>
      </c>
    </row>
    <row r="12">
      <c r="A12" s="9" t="s">
        <v>32</v>
      </c>
      <c r="B12" s="1">
        <v>0.58</v>
      </c>
      <c r="C12" s="1">
        <v>0.6</v>
      </c>
      <c r="D12" s="1">
        <v>0.59</v>
      </c>
      <c r="F12" s="1">
        <v>0.63</v>
      </c>
      <c r="G12" s="1">
        <v>0.64</v>
      </c>
      <c r="H12" s="1">
        <v>0.63</v>
      </c>
    </row>
    <row r="13">
      <c r="A13" s="9" t="s">
        <v>33</v>
      </c>
      <c r="B13" s="1">
        <v>0.62</v>
      </c>
      <c r="C13" s="1">
        <v>0.54</v>
      </c>
      <c r="D13" s="1">
        <v>0.58</v>
      </c>
      <c r="F13" s="1">
        <v>0.67</v>
      </c>
      <c r="G13" s="1">
        <v>0.6</v>
      </c>
      <c r="H13" s="1">
        <v>0.63</v>
      </c>
    </row>
    <row r="14">
      <c r="A14" s="9" t="s">
        <v>34</v>
      </c>
      <c r="B14" s="1">
        <v>0.63</v>
      </c>
      <c r="C14" s="1">
        <v>0.49</v>
      </c>
      <c r="D14" s="1">
        <v>0.55</v>
      </c>
      <c r="F14" s="1">
        <v>0.69</v>
      </c>
      <c r="G14" s="1">
        <v>0.57</v>
      </c>
      <c r="H14" s="1">
        <v>0.63</v>
      </c>
    </row>
    <row r="15">
      <c r="A15" s="9" t="s">
        <v>35</v>
      </c>
      <c r="B15" s="1">
        <v>0.53</v>
      </c>
      <c r="C15" s="1">
        <v>0.45</v>
      </c>
      <c r="D15" s="1">
        <v>0.49</v>
      </c>
      <c r="F15" s="1">
        <v>0.63</v>
      </c>
      <c r="G15" s="1">
        <v>0.62</v>
      </c>
      <c r="H15" s="1">
        <v>0.62</v>
      </c>
    </row>
    <row r="16">
      <c r="A16" s="9" t="s">
        <v>36</v>
      </c>
      <c r="B16" s="1">
        <v>0.55</v>
      </c>
      <c r="C16" s="1">
        <v>0.38</v>
      </c>
      <c r="D16" s="1">
        <v>0.45</v>
      </c>
      <c r="F16" s="1">
        <v>0.67</v>
      </c>
      <c r="G16" s="1">
        <v>0.55</v>
      </c>
      <c r="H16" s="1">
        <v>0.61</v>
      </c>
    </row>
    <row r="17">
      <c r="A17" s="9" t="s">
        <v>37</v>
      </c>
      <c r="B17" s="1">
        <v>0.54</v>
      </c>
      <c r="C17" s="1">
        <v>0.38</v>
      </c>
      <c r="D17" s="1">
        <v>0.44</v>
      </c>
      <c r="F17" s="1">
        <v>0.7</v>
      </c>
      <c r="G17" s="1">
        <v>0.56</v>
      </c>
      <c r="H17" s="1">
        <v>0.62</v>
      </c>
    </row>
    <row r="18">
      <c r="A18" s="9" t="s">
        <v>38</v>
      </c>
      <c r="B18" s="1">
        <v>0.54</v>
      </c>
      <c r="C18" s="1">
        <v>0.38</v>
      </c>
      <c r="D18" s="1">
        <v>0.45</v>
      </c>
      <c r="F18" s="1">
        <v>0.72</v>
      </c>
      <c r="G18" s="1">
        <v>0.55</v>
      </c>
      <c r="H18" s="1">
        <v>0.62</v>
      </c>
    </row>
    <row r="19">
      <c r="A19" s="9" t="s">
        <v>39</v>
      </c>
      <c r="B19" s="1">
        <v>0.55</v>
      </c>
      <c r="C19" s="1">
        <v>0.38</v>
      </c>
      <c r="D19" s="1">
        <v>0.45</v>
      </c>
      <c r="F19" s="1">
        <v>0.72</v>
      </c>
      <c r="G19" s="1">
        <v>0.55</v>
      </c>
      <c r="H19" s="1">
        <v>0.62</v>
      </c>
    </row>
    <row r="20">
      <c r="A20" s="9" t="s">
        <v>40</v>
      </c>
      <c r="B20" s="1">
        <v>0.53</v>
      </c>
      <c r="C20" s="1">
        <v>0.42</v>
      </c>
      <c r="D20" s="1">
        <v>0.47</v>
      </c>
      <c r="F20" s="1">
        <v>0.64</v>
      </c>
      <c r="G20" s="1">
        <v>0.59</v>
      </c>
      <c r="H20" s="1">
        <v>0.61</v>
      </c>
    </row>
    <row r="21">
      <c r="A21" s="9" t="s">
        <v>41</v>
      </c>
      <c r="B21" s="1">
        <v>0.53</v>
      </c>
      <c r="C21" s="1">
        <v>0.42</v>
      </c>
      <c r="D21" s="1">
        <v>0.47</v>
      </c>
      <c r="F21" s="1">
        <v>0.65</v>
      </c>
      <c r="G21" s="1">
        <v>0.59</v>
      </c>
      <c r="H21" s="1">
        <v>0.62</v>
      </c>
    </row>
    <row r="22">
      <c r="A22" s="9" t="s">
        <v>42</v>
      </c>
      <c r="B22" s="1">
        <v>0.5</v>
      </c>
      <c r="C22" s="1">
        <v>0.4</v>
      </c>
      <c r="D22" s="1">
        <v>0.44</v>
      </c>
      <c r="F22" s="1">
        <v>0.58</v>
      </c>
      <c r="G22" s="1">
        <v>0.55</v>
      </c>
      <c r="H22" s="1">
        <v>0.57</v>
      </c>
    </row>
    <row r="23">
      <c r="A23" s="9" t="s">
        <v>43</v>
      </c>
      <c r="B23" s="1">
        <v>0.49</v>
      </c>
      <c r="C23" s="1">
        <v>0.44</v>
      </c>
      <c r="D23" s="1">
        <v>0.47</v>
      </c>
      <c r="F23" s="1">
        <v>0.6</v>
      </c>
      <c r="G23" s="1">
        <v>0.61</v>
      </c>
      <c r="H23" s="1">
        <v>0.61</v>
      </c>
    </row>
    <row r="24">
      <c r="A24" s="9" t="s">
        <v>44</v>
      </c>
      <c r="B24" s="1">
        <v>0.5</v>
      </c>
      <c r="C24" s="1">
        <v>0.43</v>
      </c>
      <c r="D24" s="1">
        <v>0.47</v>
      </c>
      <c r="F24" s="1">
        <v>0.64</v>
      </c>
      <c r="G24" s="1">
        <v>0.6</v>
      </c>
      <c r="H24" s="1">
        <v>0.62</v>
      </c>
    </row>
    <row r="25">
      <c r="A25" s="9" t="s">
        <v>45</v>
      </c>
      <c r="B25" s="1">
        <v>0.53</v>
      </c>
      <c r="C25" s="1">
        <v>0.4</v>
      </c>
      <c r="D25" s="1">
        <v>0.46</v>
      </c>
      <c r="F25" s="1">
        <v>0.68</v>
      </c>
      <c r="G25" s="1">
        <v>0.58</v>
      </c>
      <c r="H25" s="1">
        <v>0.62</v>
      </c>
    </row>
    <row r="26">
      <c r="A26" s="9" t="s">
        <v>46</v>
      </c>
      <c r="B26" s="1">
        <v>0.52</v>
      </c>
      <c r="C26" s="1">
        <v>0.4</v>
      </c>
      <c r="D26" s="1">
        <v>0.45</v>
      </c>
      <c r="F26" s="1">
        <v>0.66</v>
      </c>
      <c r="G26" s="1">
        <v>0.57</v>
      </c>
      <c r="H26" s="1">
        <v>0.61</v>
      </c>
    </row>
    <row r="27">
      <c r="A27" s="9" t="s">
        <v>47</v>
      </c>
      <c r="B27" s="1">
        <v>0.56</v>
      </c>
      <c r="C27" s="1">
        <v>0.36</v>
      </c>
      <c r="D27" s="1">
        <v>0.44</v>
      </c>
      <c r="F27" s="1">
        <v>0.68</v>
      </c>
      <c r="G27" s="1">
        <v>0.54</v>
      </c>
      <c r="H27" s="1">
        <v>0.6</v>
      </c>
    </row>
    <row r="28">
      <c r="A28" s="9" t="s">
        <v>48</v>
      </c>
      <c r="B28" s="1">
        <v>0.51</v>
      </c>
      <c r="C28" s="1">
        <v>0.42</v>
      </c>
      <c r="D28" s="1">
        <v>0.46</v>
      </c>
      <c r="F28" s="1">
        <v>0.62</v>
      </c>
      <c r="G28" s="1">
        <v>0.6</v>
      </c>
      <c r="H28" s="1">
        <v>0.61</v>
      </c>
    </row>
    <row r="29">
      <c r="A29" s="9" t="s">
        <v>49</v>
      </c>
      <c r="B29" s="1">
        <v>0.54</v>
      </c>
      <c r="C29" s="1">
        <v>0.38</v>
      </c>
      <c r="D29" s="1">
        <v>0.45</v>
      </c>
      <c r="F29" s="1">
        <v>0.68</v>
      </c>
      <c r="G29" s="1">
        <v>0.56</v>
      </c>
      <c r="H29" s="1">
        <v>0.61</v>
      </c>
    </row>
    <row r="30">
      <c r="A30" s="5" t="s">
        <v>50</v>
      </c>
      <c r="B30" s="7">
        <f t="shared" ref="B30:D30" si="1">VAR(B5:B29)</f>
        <v>0.003840666667</v>
      </c>
      <c r="C30" s="7">
        <f t="shared" si="1"/>
        <v>0.004708333333</v>
      </c>
      <c r="D30" s="7">
        <f t="shared" si="1"/>
        <v>0.003667333333</v>
      </c>
      <c r="F30" s="7">
        <f t="shared" ref="F30:H30" si="2">VAR(F5:F29)</f>
        <v>0.001444</v>
      </c>
      <c r="G30" s="7">
        <f t="shared" si="2"/>
        <v>0.0006506666667</v>
      </c>
      <c r="H30" s="7">
        <f t="shared" si="2"/>
        <v>0.000171</v>
      </c>
    </row>
    <row r="31">
      <c r="A31" s="5" t="s">
        <v>51</v>
      </c>
      <c r="B31" s="7">
        <f t="shared" ref="B31:D31" si="3">STDEV(B5:B29)</f>
        <v>0.06197311245</v>
      </c>
      <c r="C31" s="7">
        <f t="shared" si="3"/>
        <v>0.06861729617</v>
      </c>
      <c r="D31" s="7">
        <f t="shared" si="3"/>
        <v>0.06055851165</v>
      </c>
      <c r="F31" s="7">
        <f t="shared" ref="F31:H31" si="4">STDEV(F5:F29)</f>
        <v>0.038</v>
      </c>
      <c r="G31" s="7">
        <f t="shared" si="4"/>
        <v>0.02550816863</v>
      </c>
      <c r="H31" s="7">
        <f t="shared" si="4"/>
        <v>0.01307669683</v>
      </c>
    </row>
    <row r="32">
      <c r="A32" s="5" t="s">
        <v>52</v>
      </c>
      <c r="B32" s="7">
        <f t="shared" ref="B32:D32" si="5">AVERAGE(B5:B29)</f>
        <v>0.5736</v>
      </c>
      <c r="C32" s="7">
        <f t="shared" si="5"/>
        <v>0.452</v>
      </c>
      <c r="D32" s="7">
        <f t="shared" si="5"/>
        <v>0.5044</v>
      </c>
      <c r="F32" s="7">
        <f t="shared" ref="F32:H32" si="6">AVERAGE(F5:F29)</f>
        <v>0.6676</v>
      </c>
      <c r="G32" s="7">
        <f t="shared" si="6"/>
        <v>0.5756</v>
      </c>
      <c r="H32" s="7">
        <f t="shared" si="6"/>
        <v>0.6172</v>
      </c>
    </row>
  </sheetData>
  <mergeCells count="2">
    <mergeCell ref="B4:D4"/>
    <mergeCell ref="F4:H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0.5</v>
      </c>
      <c r="C5" s="1">
        <v>0.54</v>
      </c>
      <c r="D5" s="1">
        <v>0.52</v>
      </c>
      <c r="F5" s="1">
        <v>0.55</v>
      </c>
      <c r="G5" s="1">
        <v>0.58</v>
      </c>
      <c r="H5" s="1">
        <v>0.56</v>
      </c>
    </row>
    <row r="6">
      <c r="A6" s="9" t="s">
        <v>26</v>
      </c>
      <c r="B6" s="1">
        <v>0.61</v>
      </c>
      <c r="C6" s="1">
        <v>0.48</v>
      </c>
      <c r="D6" s="1">
        <v>0.54</v>
      </c>
      <c r="F6" s="1">
        <v>0.63</v>
      </c>
      <c r="G6" s="1">
        <v>0.55</v>
      </c>
      <c r="H6" s="1">
        <v>0.59</v>
      </c>
    </row>
    <row r="7">
      <c r="A7" s="9" t="s">
        <v>27</v>
      </c>
      <c r="B7" s="1">
        <v>0.6</v>
      </c>
      <c r="C7" s="1">
        <v>0.48</v>
      </c>
      <c r="D7" s="1">
        <v>0.53</v>
      </c>
      <c r="F7" s="1">
        <v>0.61</v>
      </c>
      <c r="G7" s="1">
        <v>0.53</v>
      </c>
      <c r="H7" s="1">
        <v>0.57</v>
      </c>
    </row>
    <row r="8">
      <c r="A8" s="9" t="s">
        <v>28</v>
      </c>
      <c r="B8" s="1">
        <v>0.6</v>
      </c>
      <c r="C8" s="1">
        <v>0.45</v>
      </c>
      <c r="D8" s="1">
        <v>0.52</v>
      </c>
      <c r="F8" s="1">
        <v>0.66</v>
      </c>
      <c r="G8" s="1">
        <v>0.52</v>
      </c>
      <c r="H8" s="1">
        <v>0.58</v>
      </c>
    </row>
    <row r="9">
      <c r="A9" s="9" t="s">
        <v>29</v>
      </c>
      <c r="B9" s="1">
        <v>0.6</v>
      </c>
      <c r="C9" s="1">
        <v>0.4</v>
      </c>
      <c r="D9" s="1">
        <v>0.48</v>
      </c>
      <c r="F9" s="1">
        <v>0.62</v>
      </c>
      <c r="G9" s="1">
        <v>0.46</v>
      </c>
      <c r="H9" s="1">
        <v>0.53</v>
      </c>
    </row>
    <row r="10">
      <c r="A10" s="9" t="s">
        <v>30</v>
      </c>
      <c r="B10" s="1">
        <v>0.61</v>
      </c>
      <c r="C10" s="1">
        <v>0.46</v>
      </c>
      <c r="D10" s="1">
        <v>0.52</v>
      </c>
      <c r="F10" s="1">
        <v>0.67</v>
      </c>
      <c r="G10" s="1">
        <v>0.52</v>
      </c>
      <c r="H10" s="1">
        <v>0.59</v>
      </c>
    </row>
    <row r="11">
      <c r="A11" s="9" t="s">
        <v>31</v>
      </c>
      <c r="B11" s="1">
        <v>0.61</v>
      </c>
      <c r="C11" s="1">
        <v>0.48</v>
      </c>
      <c r="D11" s="1">
        <v>0.54</v>
      </c>
      <c r="F11" s="1">
        <v>0.65</v>
      </c>
      <c r="G11" s="1">
        <v>0.54</v>
      </c>
      <c r="H11" s="1">
        <v>0.59</v>
      </c>
    </row>
    <row r="12">
      <c r="A12" s="9" t="s">
        <v>32</v>
      </c>
      <c r="B12" s="1">
        <v>0.61</v>
      </c>
      <c r="C12" s="1">
        <v>0.45</v>
      </c>
      <c r="D12" s="1">
        <v>0.52</v>
      </c>
      <c r="F12" s="1">
        <v>0.67</v>
      </c>
      <c r="G12" s="1">
        <v>0.52</v>
      </c>
      <c r="H12" s="1">
        <v>0.59</v>
      </c>
    </row>
    <row r="13">
      <c r="A13" s="9" t="s">
        <v>33</v>
      </c>
      <c r="B13" s="1">
        <v>0.61</v>
      </c>
      <c r="C13" s="1">
        <v>0.49</v>
      </c>
      <c r="D13" s="1">
        <v>0.55</v>
      </c>
      <c r="F13" s="1">
        <v>0.65</v>
      </c>
      <c r="G13" s="1">
        <v>0.57</v>
      </c>
      <c r="H13" s="1">
        <v>0.61</v>
      </c>
    </row>
    <row r="14">
      <c r="A14" s="9" t="s">
        <v>34</v>
      </c>
      <c r="B14" s="1">
        <v>0.6</v>
      </c>
      <c r="C14" s="1">
        <v>0.49</v>
      </c>
      <c r="D14" s="1">
        <v>0.54</v>
      </c>
      <c r="F14" s="1">
        <v>0.66</v>
      </c>
      <c r="G14" s="1">
        <v>0.56</v>
      </c>
      <c r="H14" s="1">
        <v>0.61</v>
      </c>
    </row>
    <row r="15">
      <c r="A15" s="9" t="s">
        <v>35</v>
      </c>
      <c r="B15" s="1">
        <v>0.56</v>
      </c>
      <c r="C15" s="1">
        <v>0.36</v>
      </c>
      <c r="D15" s="1">
        <v>0.43</v>
      </c>
      <c r="F15" s="1">
        <v>0.66</v>
      </c>
      <c r="G15" s="1">
        <v>0.52</v>
      </c>
      <c r="H15" s="1">
        <v>0.58</v>
      </c>
    </row>
    <row r="16">
      <c r="A16" s="9" t="s">
        <v>36</v>
      </c>
      <c r="B16" s="1">
        <v>0.53</v>
      </c>
      <c r="C16" s="1">
        <v>0.31</v>
      </c>
      <c r="D16" s="1">
        <v>0.39</v>
      </c>
      <c r="F16" s="1">
        <v>0.69</v>
      </c>
      <c r="G16" s="1">
        <v>0.46</v>
      </c>
      <c r="H16" s="1">
        <v>0.55</v>
      </c>
    </row>
    <row r="17">
      <c r="A17" s="9" t="s">
        <v>37</v>
      </c>
      <c r="B17" s="1">
        <v>0.49</v>
      </c>
      <c r="C17" s="1">
        <v>0.41</v>
      </c>
      <c r="D17" s="1">
        <v>0.45</v>
      </c>
      <c r="F17" s="1">
        <v>0.59</v>
      </c>
      <c r="G17" s="1">
        <v>0.59</v>
      </c>
      <c r="H17" s="1">
        <v>0.59</v>
      </c>
    </row>
    <row r="18">
      <c r="A18" s="9" t="s">
        <v>38</v>
      </c>
      <c r="B18" s="1">
        <v>0.5</v>
      </c>
      <c r="C18" s="1">
        <v>0.4</v>
      </c>
      <c r="D18" s="1">
        <v>0.44</v>
      </c>
      <c r="F18" s="1">
        <v>0.63</v>
      </c>
      <c r="G18" s="1">
        <v>0.54</v>
      </c>
      <c r="H18" s="1">
        <v>0.58</v>
      </c>
    </row>
    <row r="19">
      <c r="A19" s="9" t="s">
        <v>39</v>
      </c>
      <c r="B19" s="1">
        <v>0.51</v>
      </c>
      <c r="C19" s="1">
        <v>0.37</v>
      </c>
      <c r="D19" s="1">
        <v>0.43</v>
      </c>
      <c r="F19" s="1">
        <v>0.61</v>
      </c>
      <c r="G19" s="1">
        <v>0.53</v>
      </c>
      <c r="H19" s="1">
        <v>0.57</v>
      </c>
    </row>
    <row r="20">
      <c r="A20" s="9" t="s">
        <v>40</v>
      </c>
      <c r="B20" s="1">
        <v>0.53</v>
      </c>
      <c r="C20" s="1">
        <v>0.37</v>
      </c>
      <c r="D20" s="1">
        <v>0.43</v>
      </c>
      <c r="F20" s="1">
        <v>0.65</v>
      </c>
      <c r="G20" s="1">
        <v>0.54</v>
      </c>
      <c r="H20" s="1">
        <v>0.59</v>
      </c>
    </row>
    <row r="21">
      <c r="A21" s="9" t="s">
        <v>41</v>
      </c>
      <c r="B21" s="1">
        <v>0.51</v>
      </c>
      <c r="C21" s="1">
        <v>0.41</v>
      </c>
      <c r="D21" s="1">
        <v>0.45</v>
      </c>
      <c r="F21" s="1">
        <v>0.61</v>
      </c>
      <c r="G21" s="1">
        <v>0.56</v>
      </c>
      <c r="H21" s="1">
        <v>0.58</v>
      </c>
    </row>
    <row r="22">
      <c r="A22" s="9" t="s">
        <v>42</v>
      </c>
      <c r="B22" s="1">
        <v>0.51</v>
      </c>
      <c r="C22" s="1">
        <v>0.34</v>
      </c>
      <c r="D22" s="1">
        <v>0.41</v>
      </c>
      <c r="F22" s="1">
        <v>0.67</v>
      </c>
      <c r="G22" s="1">
        <v>0.49</v>
      </c>
      <c r="H22" s="1">
        <v>0.56</v>
      </c>
    </row>
    <row r="23">
      <c r="A23" s="9" t="s">
        <v>43</v>
      </c>
      <c r="B23" s="1">
        <v>0.5</v>
      </c>
      <c r="C23" s="1">
        <v>0.38</v>
      </c>
      <c r="D23" s="1">
        <v>0.43</v>
      </c>
      <c r="F23" s="1">
        <v>0.61</v>
      </c>
      <c r="G23" s="1">
        <v>0.56</v>
      </c>
      <c r="H23" s="1">
        <v>0.59</v>
      </c>
    </row>
    <row r="24">
      <c r="A24" s="9" t="s">
        <v>44</v>
      </c>
      <c r="B24" s="1">
        <v>0.56</v>
      </c>
      <c r="C24" s="1">
        <v>0.3</v>
      </c>
      <c r="D24" s="1">
        <v>0.4</v>
      </c>
      <c r="F24" s="1">
        <v>0.68</v>
      </c>
      <c r="G24" s="1">
        <v>0.47</v>
      </c>
      <c r="H24" s="1">
        <v>0.56</v>
      </c>
    </row>
    <row r="25">
      <c r="A25" s="9" t="s">
        <v>45</v>
      </c>
      <c r="B25" s="1">
        <v>0.53</v>
      </c>
      <c r="C25" s="1">
        <v>0.34</v>
      </c>
      <c r="D25" s="1">
        <v>0.42</v>
      </c>
      <c r="F25" s="1">
        <v>0.68</v>
      </c>
      <c r="G25" s="1">
        <v>0.52</v>
      </c>
      <c r="H25" s="1">
        <v>0.59</v>
      </c>
    </row>
    <row r="26">
      <c r="A26" s="9" t="s">
        <v>46</v>
      </c>
      <c r="B26" s="1">
        <v>0.55</v>
      </c>
      <c r="C26" s="1">
        <v>0.34</v>
      </c>
      <c r="D26" s="1">
        <v>0.42</v>
      </c>
      <c r="F26" s="1">
        <v>0.64</v>
      </c>
      <c r="G26" s="1">
        <v>0.49</v>
      </c>
      <c r="H26" s="1">
        <v>0.56</v>
      </c>
    </row>
    <row r="27">
      <c r="A27" s="9" t="s">
        <v>47</v>
      </c>
      <c r="B27" s="1">
        <v>0.55</v>
      </c>
      <c r="C27" s="1">
        <v>0.37</v>
      </c>
      <c r="D27" s="1">
        <v>0.44</v>
      </c>
      <c r="F27" s="1">
        <v>0.65</v>
      </c>
      <c r="G27" s="1">
        <v>0.53</v>
      </c>
      <c r="H27" s="1">
        <v>0.58</v>
      </c>
    </row>
    <row r="28">
      <c r="A28" s="9" t="s">
        <v>48</v>
      </c>
    </row>
    <row r="29">
      <c r="A29" s="9" t="s">
        <v>49</v>
      </c>
    </row>
    <row r="30">
      <c r="A30" s="5" t="s">
        <v>50</v>
      </c>
      <c r="B30" s="7">
        <f t="shared" ref="B30:D30" si="1">VAR(B5:B27)</f>
        <v>0.0020256917</v>
      </c>
      <c r="C30" s="7">
        <f t="shared" si="1"/>
        <v>0.004331620553</v>
      </c>
      <c r="D30" s="7">
        <f t="shared" si="1"/>
        <v>0.002895256917</v>
      </c>
      <c r="F30" s="7">
        <f t="shared" ref="F30:H30" si="2">VAR(F5:F27)</f>
        <v>0.001126482213</v>
      </c>
      <c r="G30" s="7">
        <f t="shared" si="2"/>
        <v>0.001278656126</v>
      </c>
      <c r="H30" s="7">
        <f t="shared" si="2"/>
        <v>0.0003513833992</v>
      </c>
    </row>
    <row r="31">
      <c r="A31" s="5" t="s">
        <v>51</v>
      </c>
      <c r="B31" s="7">
        <f t="shared" ref="B31:D31" si="3">STDEV(B5:B27)</f>
        <v>0.04500768489</v>
      </c>
      <c r="C31" s="7">
        <f t="shared" si="3"/>
        <v>0.06581504808</v>
      </c>
      <c r="D31" s="7">
        <f t="shared" si="3"/>
        <v>0.05380759163</v>
      </c>
      <c r="F31" s="7">
        <f t="shared" ref="F31:H31" si="4">STDEV(F5:F27)</f>
        <v>0.03356310792</v>
      </c>
      <c r="G31" s="7">
        <f t="shared" si="4"/>
        <v>0.0357583015</v>
      </c>
      <c r="H31" s="7">
        <f t="shared" si="4"/>
        <v>0.01874522337</v>
      </c>
    </row>
    <row r="32">
      <c r="A32" s="5" t="s">
        <v>52</v>
      </c>
      <c r="B32" s="7">
        <f t="shared" ref="B32:D32" si="5">AVERAGE(B5:B27)</f>
        <v>0.5556521739</v>
      </c>
      <c r="C32" s="7">
        <f t="shared" si="5"/>
        <v>0.4095652174</v>
      </c>
      <c r="D32" s="7">
        <f t="shared" si="5"/>
        <v>0.4695652174</v>
      </c>
      <c r="F32" s="7">
        <f t="shared" ref="F32:H32" si="6">AVERAGE(F5:F27)</f>
        <v>0.6408695652</v>
      </c>
      <c r="G32" s="7">
        <f t="shared" si="6"/>
        <v>0.5282608696</v>
      </c>
      <c r="H32" s="7">
        <f t="shared" si="6"/>
        <v>0.5782608696</v>
      </c>
    </row>
  </sheetData>
  <mergeCells count="2">
    <mergeCell ref="B4:D4"/>
    <mergeCell ref="F4:H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/>
      <c r="B4" s="2" t="s">
        <v>22</v>
      </c>
      <c r="F4" s="2" t="s">
        <v>23</v>
      </c>
    </row>
    <row r="5">
      <c r="A5" s="9" t="s">
        <v>24</v>
      </c>
      <c r="B5" s="1">
        <v>0.59</v>
      </c>
      <c r="C5" s="1">
        <v>0.44</v>
      </c>
      <c r="D5" s="1">
        <v>0.5</v>
      </c>
      <c r="F5" s="1">
        <v>0.65</v>
      </c>
      <c r="G5" s="1">
        <v>0.49</v>
      </c>
      <c r="H5" s="1">
        <v>0.55</v>
      </c>
    </row>
    <row r="6">
      <c r="A6" s="9" t="s">
        <v>26</v>
      </c>
      <c r="B6" s="1">
        <v>0.6</v>
      </c>
      <c r="C6" s="1">
        <v>0.43</v>
      </c>
      <c r="D6" s="1">
        <v>0.5</v>
      </c>
      <c r="F6" s="1">
        <v>0.63</v>
      </c>
      <c r="G6" s="1">
        <v>0.48</v>
      </c>
      <c r="H6" s="1">
        <v>0.55</v>
      </c>
    </row>
    <row r="7">
      <c r="A7" s="9" t="s">
        <v>27</v>
      </c>
      <c r="B7" s="1">
        <v>0.5</v>
      </c>
      <c r="C7" s="1">
        <v>0.52</v>
      </c>
      <c r="D7" s="1">
        <v>0.51</v>
      </c>
      <c r="F7" s="1">
        <v>0.55</v>
      </c>
      <c r="G7" s="1">
        <v>0.57</v>
      </c>
      <c r="H7" s="1">
        <v>0.56</v>
      </c>
    </row>
    <row r="8">
      <c r="A8" s="9" t="s">
        <v>28</v>
      </c>
      <c r="B8" s="1">
        <v>0.58</v>
      </c>
      <c r="C8" s="1">
        <v>0.44</v>
      </c>
      <c r="D8" s="1">
        <v>0.5</v>
      </c>
      <c r="F8" s="1">
        <v>0.63</v>
      </c>
      <c r="G8" s="1">
        <v>0.49</v>
      </c>
      <c r="H8" s="1">
        <v>0.55</v>
      </c>
    </row>
    <row r="9">
      <c r="A9" s="9" t="s">
        <v>29</v>
      </c>
      <c r="B9" s="1">
        <v>0.55</v>
      </c>
      <c r="C9" s="1">
        <v>0.42</v>
      </c>
      <c r="D9" s="1">
        <v>0.47</v>
      </c>
      <c r="F9" s="1">
        <v>0.59</v>
      </c>
      <c r="G9" s="1">
        <v>0.46</v>
      </c>
      <c r="H9" s="1">
        <v>0.51</v>
      </c>
    </row>
    <row r="10">
      <c r="A10" s="9" t="s">
        <v>30</v>
      </c>
      <c r="B10" s="1">
        <v>0.58</v>
      </c>
      <c r="C10" s="1">
        <v>0.4</v>
      </c>
      <c r="D10" s="1">
        <v>0.47</v>
      </c>
      <c r="F10" s="1">
        <v>0.61</v>
      </c>
      <c r="G10" s="1">
        <v>0.44</v>
      </c>
      <c r="H10" s="1">
        <v>0.51</v>
      </c>
    </row>
    <row r="11">
      <c r="A11" s="9" t="s">
        <v>31</v>
      </c>
      <c r="B11" s="1">
        <v>0.6</v>
      </c>
      <c r="C11" s="1">
        <v>0.42</v>
      </c>
      <c r="D11" s="1">
        <v>0.5</v>
      </c>
      <c r="F11" s="1">
        <v>0.62</v>
      </c>
      <c r="G11" s="1">
        <v>0.47</v>
      </c>
      <c r="H11" s="1">
        <v>0.54</v>
      </c>
    </row>
    <row r="12">
      <c r="A12" s="9" t="s">
        <v>32</v>
      </c>
      <c r="B12" s="1">
        <v>0.59</v>
      </c>
      <c r="C12" s="1">
        <v>0.43</v>
      </c>
      <c r="D12" s="1">
        <v>0.5</v>
      </c>
      <c r="F12" s="1">
        <v>0.62</v>
      </c>
      <c r="G12" s="1">
        <v>0.49</v>
      </c>
      <c r="H12" s="1">
        <v>0.55</v>
      </c>
    </row>
    <row r="13">
      <c r="A13" s="9" t="s">
        <v>33</v>
      </c>
      <c r="B13" s="1">
        <v>0.63</v>
      </c>
      <c r="C13" s="1">
        <v>0.4</v>
      </c>
      <c r="D13" s="1">
        <v>0.49</v>
      </c>
      <c r="F13" s="1">
        <v>0.63</v>
      </c>
      <c r="G13" s="1">
        <v>0.46</v>
      </c>
      <c r="H13" s="1">
        <v>0.53</v>
      </c>
    </row>
    <row r="14">
      <c r="A14" s="9" t="s">
        <v>34</v>
      </c>
      <c r="B14" s="1">
        <v>0.62</v>
      </c>
      <c r="C14" s="1">
        <v>0.47</v>
      </c>
      <c r="D14" s="1">
        <v>0.53</v>
      </c>
      <c r="F14" s="1">
        <v>0.64</v>
      </c>
      <c r="G14" s="1">
        <v>0.48</v>
      </c>
      <c r="H14" s="1">
        <v>0.55</v>
      </c>
    </row>
    <row r="15">
      <c r="A15" s="9" t="s">
        <v>35</v>
      </c>
      <c r="B15" s="1">
        <v>0.47</v>
      </c>
      <c r="C15" s="1">
        <v>0.32</v>
      </c>
      <c r="D15" s="1">
        <v>0.38</v>
      </c>
      <c r="F15" s="1">
        <v>0.59</v>
      </c>
      <c r="G15" s="1">
        <v>0.49</v>
      </c>
      <c r="H15" s="1">
        <v>0.54</v>
      </c>
    </row>
    <row r="16">
      <c r="A16" s="9" t="s">
        <v>36</v>
      </c>
      <c r="B16" s="1">
        <v>0.49</v>
      </c>
      <c r="C16" s="1">
        <v>0.33</v>
      </c>
      <c r="D16" s="1">
        <v>0.39</v>
      </c>
      <c r="F16" s="1">
        <v>0.61</v>
      </c>
      <c r="G16" s="1">
        <v>0.46</v>
      </c>
      <c r="H16" s="1">
        <v>0.52</v>
      </c>
    </row>
    <row r="17">
      <c r="A17" s="9" t="s">
        <v>37</v>
      </c>
      <c r="B17" s="1">
        <v>0.49</v>
      </c>
      <c r="C17" s="1">
        <v>0.34</v>
      </c>
      <c r="D17" s="1">
        <v>0.4</v>
      </c>
      <c r="F17" s="1">
        <v>0.6</v>
      </c>
      <c r="G17" s="1">
        <v>0.47</v>
      </c>
      <c r="H17" s="1">
        <v>0.53</v>
      </c>
    </row>
    <row r="18">
      <c r="A18" s="9" t="s">
        <v>38</v>
      </c>
      <c r="B18" s="1">
        <v>0.52</v>
      </c>
      <c r="C18" s="1">
        <v>0.31</v>
      </c>
      <c r="D18" s="1">
        <v>0.39</v>
      </c>
      <c r="F18" s="1">
        <v>0.65</v>
      </c>
      <c r="G18" s="1">
        <v>0.44</v>
      </c>
      <c r="H18" s="1">
        <v>0.53</v>
      </c>
    </row>
    <row r="19">
      <c r="A19" s="9" t="s">
        <v>39</v>
      </c>
      <c r="B19" s="1">
        <v>0.5</v>
      </c>
      <c r="C19" s="1">
        <v>0.37</v>
      </c>
      <c r="D19" s="1">
        <v>0.43</v>
      </c>
      <c r="F19" s="1">
        <v>0.59</v>
      </c>
      <c r="G19" s="1">
        <v>0.51</v>
      </c>
      <c r="H19" s="1">
        <v>0.55</v>
      </c>
    </row>
    <row r="20">
      <c r="A20" s="9" t="s">
        <v>40</v>
      </c>
      <c r="B20" s="1">
        <v>0.51</v>
      </c>
      <c r="C20" s="1">
        <v>0.35</v>
      </c>
      <c r="D20" s="1">
        <v>0.41</v>
      </c>
      <c r="F20" s="1">
        <v>0.6</v>
      </c>
      <c r="G20" s="1">
        <v>0.47</v>
      </c>
      <c r="H20" s="1">
        <v>0.53</v>
      </c>
    </row>
    <row r="21">
      <c r="A21" s="9" t="s">
        <v>41</v>
      </c>
      <c r="B21" s="1">
        <v>0.5</v>
      </c>
      <c r="C21" s="1">
        <v>0.35</v>
      </c>
      <c r="D21" s="1">
        <v>0.41</v>
      </c>
      <c r="F21" s="1">
        <v>0.6</v>
      </c>
      <c r="G21" s="1">
        <v>0.5</v>
      </c>
      <c r="H21" s="1">
        <v>0.54</v>
      </c>
    </row>
    <row r="22">
      <c r="A22" s="9" t="s">
        <v>42</v>
      </c>
      <c r="B22" s="1">
        <v>0.48</v>
      </c>
      <c r="C22" s="1">
        <v>0.36</v>
      </c>
      <c r="D22" s="1">
        <v>0.41</v>
      </c>
      <c r="F22" s="1">
        <v>0.59</v>
      </c>
      <c r="G22" s="1">
        <v>0.52</v>
      </c>
      <c r="H22" s="1">
        <v>0.55</v>
      </c>
    </row>
    <row r="23">
      <c r="A23" s="9" t="s">
        <v>43</v>
      </c>
      <c r="B23" s="1">
        <v>0.47</v>
      </c>
      <c r="C23" s="1">
        <v>0.34</v>
      </c>
      <c r="D23" s="1">
        <v>0.39</v>
      </c>
      <c r="F23" s="1">
        <v>0.59</v>
      </c>
      <c r="G23" s="1">
        <v>0.5</v>
      </c>
      <c r="H23" s="1">
        <v>0.54</v>
      </c>
    </row>
    <row r="24">
      <c r="A24" s="9" t="s">
        <v>44</v>
      </c>
      <c r="B24" s="1">
        <v>0.42</v>
      </c>
      <c r="C24" s="1">
        <v>0.36</v>
      </c>
      <c r="D24" s="1">
        <v>0.39</v>
      </c>
      <c r="F24" s="1">
        <v>0.5</v>
      </c>
      <c r="G24" s="1">
        <v>0.51</v>
      </c>
      <c r="H24" s="1">
        <v>0.5</v>
      </c>
    </row>
    <row r="25">
      <c r="A25" s="9" t="s">
        <v>45</v>
      </c>
      <c r="B25" s="1">
        <v>0.5</v>
      </c>
      <c r="C25" s="1">
        <v>0.32</v>
      </c>
      <c r="D25" s="1">
        <v>0.39</v>
      </c>
      <c r="F25" s="1">
        <v>0.63</v>
      </c>
      <c r="G25" s="1">
        <v>0.44</v>
      </c>
      <c r="H25" s="1">
        <v>0.52</v>
      </c>
    </row>
    <row r="26">
      <c r="A26" s="9" t="s">
        <v>46</v>
      </c>
      <c r="B26" s="1">
        <v>0.53</v>
      </c>
      <c r="C26" s="1">
        <v>0.34</v>
      </c>
      <c r="D26" s="1">
        <v>0.41</v>
      </c>
      <c r="F26" s="1">
        <v>0.64</v>
      </c>
      <c r="G26" s="1">
        <v>0.46</v>
      </c>
      <c r="H26" s="1">
        <v>0.53</v>
      </c>
    </row>
    <row r="27">
      <c r="A27" s="9" t="s">
        <v>47</v>
      </c>
      <c r="B27" s="1">
        <v>0.51</v>
      </c>
      <c r="C27" s="1">
        <v>0.29</v>
      </c>
      <c r="D27" s="1">
        <v>0.37</v>
      </c>
      <c r="F27" s="1">
        <v>0.62</v>
      </c>
      <c r="G27" s="1">
        <v>0.46</v>
      </c>
      <c r="H27" s="1">
        <v>0.53</v>
      </c>
    </row>
    <row r="28">
      <c r="A28" s="9" t="s">
        <v>48</v>
      </c>
      <c r="B28" s="1">
        <v>0.48</v>
      </c>
      <c r="C28" s="1">
        <v>0.37</v>
      </c>
      <c r="D28" s="1">
        <v>0.41</v>
      </c>
      <c r="F28" s="1">
        <v>0.6</v>
      </c>
      <c r="G28" s="1">
        <v>0.5</v>
      </c>
      <c r="H28" s="1">
        <v>0.54</v>
      </c>
    </row>
    <row r="29">
      <c r="A29" s="9" t="s">
        <v>49</v>
      </c>
      <c r="B29" s="1">
        <v>0.46</v>
      </c>
      <c r="C29" s="1">
        <v>0.33</v>
      </c>
      <c r="D29" s="1">
        <v>0.39</v>
      </c>
      <c r="F29" s="1">
        <v>0.58</v>
      </c>
      <c r="G29" s="1">
        <v>0.49</v>
      </c>
      <c r="H29" s="1">
        <v>0.53</v>
      </c>
    </row>
    <row r="30">
      <c r="A30" s="5" t="s">
        <v>50</v>
      </c>
      <c r="B30" s="7">
        <f t="shared" ref="B30:D30" si="1">VAR(B5:B29)</f>
        <v>0.003214333333</v>
      </c>
      <c r="C30" s="7">
        <f t="shared" si="1"/>
        <v>0.003191666667</v>
      </c>
      <c r="D30" s="7">
        <f t="shared" si="1"/>
        <v>0.002702333333</v>
      </c>
      <c r="F30" s="7">
        <f t="shared" ref="F30:H30" si="2">VAR(F5:F29)</f>
        <v>0.001065666667</v>
      </c>
      <c r="G30" s="7">
        <f t="shared" si="2"/>
        <v>0.0008416666667</v>
      </c>
      <c r="H30" s="7">
        <f t="shared" si="2"/>
        <v>0.000226</v>
      </c>
    </row>
    <row r="31">
      <c r="A31" s="5" t="s">
        <v>51</v>
      </c>
      <c r="B31" s="7">
        <f t="shared" ref="B31:D31" si="3">STDEV(B5:B29)</f>
        <v>0.05669509091</v>
      </c>
      <c r="C31" s="7">
        <f t="shared" si="3"/>
        <v>0.05649483752</v>
      </c>
      <c r="D31" s="7">
        <f t="shared" si="3"/>
        <v>0.05198397189</v>
      </c>
      <c r="F31" s="7">
        <f t="shared" ref="F31:H31" si="4">STDEV(F5:F29)</f>
        <v>0.03264455034</v>
      </c>
      <c r="G31" s="7">
        <f t="shared" si="4"/>
        <v>0.02901149198</v>
      </c>
      <c r="H31" s="7">
        <f t="shared" si="4"/>
        <v>0.01503329638</v>
      </c>
    </row>
    <row r="32">
      <c r="A32" s="5" t="s">
        <v>52</v>
      </c>
      <c r="B32" s="7">
        <f t="shared" ref="B32:D32" si="5">AVERAGE(B5:B29)</f>
        <v>0.5268</v>
      </c>
      <c r="C32" s="7">
        <f t="shared" si="5"/>
        <v>0.378</v>
      </c>
      <c r="D32" s="7">
        <f t="shared" si="5"/>
        <v>0.4376</v>
      </c>
      <c r="F32" s="7">
        <f t="shared" ref="F32:H32" si="6">AVERAGE(F5:F29)</f>
        <v>0.6064</v>
      </c>
      <c r="G32" s="7">
        <f t="shared" si="6"/>
        <v>0.482</v>
      </c>
      <c r="H32" s="7">
        <f t="shared" si="6"/>
        <v>0.5352</v>
      </c>
    </row>
  </sheetData>
  <mergeCells count="2">
    <mergeCell ref="B4:D4"/>
    <mergeCell ref="F4:H4"/>
  </mergeCells>
  <drawing r:id="rId1"/>
</worksheet>
</file>